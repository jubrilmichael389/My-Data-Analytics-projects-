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C:\Users\Dell\Documents\eminentemerald\Techcrust\"/>
    </mc:Choice>
  </mc:AlternateContent>
  <xr:revisionPtr revIDLastSave="0" documentId="13_ncr:1_{176F31A3-4B5F-41A8-AA26-B4AEDBD15C2A}" xr6:coauthVersionLast="47" xr6:coauthVersionMax="47" xr10:uidLastSave="{00000000-0000-0000-0000-000000000000}"/>
  <bookViews>
    <workbookView xWindow="-110" yWindow="-110" windowWidth="19420" windowHeight="10300" activeTab="1" xr2:uid="{FB46BD2E-2121-4FA5-90B2-E7B1A2EC2466}"/>
  </bookViews>
  <sheets>
    <sheet name="Pivotchart" sheetId="9" r:id="rId1"/>
    <sheet name="Dashboard" sheetId="11" r:id="rId2"/>
    <sheet name="Sales" sheetId="1" r:id="rId3"/>
    <sheet name="Products" sheetId="2" r:id="rId4"/>
    <sheet name="Customer_info" sheetId="3" r:id="rId5"/>
  </sheets>
  <definedNames>
    <definedName name="_xlcn.WorksheetConnection_Ecommerce_Analytics_Practice_Dataset.xlsxTable1" hidden="1">Table1[]</definedName>
    <definedName name="_xlcn.WorksheetConnection_Ecommerce_Analytics_Practice_Dataset.xlsxTable2" hidden="1">Table2[]</definedName>
    <definedName name="_xlcn.WorksheetConnection_Ecommerce_Analytics_Practice_Dataset.xlsxTable3" hidden="1">Table3[]</definedName>
    <definedName name="_xlcn.WorksheetConnection_Ecommerce_Analytics_Practice_Dataset.xlsxTable8" hidden="1">Table8</definedName>
    <definedName name="Slicer_Category">#N/A</definedName>
    <definedName name="Slicer_Country">#N/A</definedName>
    <definedName name="Slicer_OrderDate__Month">#N/A</definedName>
  </definedNames>
  <calcPr calcId="191029"/>
  <pivotCaches>
    <pivotCache cacheId="10" r:id="rId6"/>
    <pivotCache cacheId="13" r:id="rId7"/>
    <pivotCache cacheId="16" r:id="rId8"/>
    <pivotCache cacheId="19" r:id="rId9"/>
    <pivotCache cacheId="22" r:id="rId10"/>
    <pivotCache cacheId="25" r:id="rId11"/>
  </pivotCaches>
  <extLst>
    <ext xmlns:x14="http://schemas.microsoft.com/office/spreadsheetml/2009/9/main" uri="{876F7934-8845-4945-9796-88D515C7AA90}">
      <x14:pivotCaches>
        <pivotCache cacheId="9"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8" name="Table8" connection="WorksheetConnection_Ecommerce_Analytics_Practice_Dataset.xlsx!Table8"/>
          <x15:modelTable id="Table3" name="Table3" connection="WorksheetConnection_Ecommerce_Analytics_Practice_Dataset.xlsx!Table3"/>
          <x15:modelTable id="Table2" name="Table2" connection="WorksheetConnection_Ecommerce_Analytics_Practice_Dataset.xlsx!Table2"/>
          <x15:modelTable id="Table1" name="Table1" connection="WorksheetConnection_Ecommerce_Analytics_Practice_Dataset.xlsx!Table1"/>
        </x15:modelTables>
        <x15:modelRelationships>
          <x15:modelRelationship fromTable="Table1" fromColumn="CustomerID" toTable="Table2" toColumn="CustomerID"/>
          <x15:modelRelationship fromTable="Table1" fromColumn="ProductID" toTable="Table3" toColumn="ProductID"/>
          <x15:modelRelationship fromTable="Table1" fromColumn="ProductID" toTable="Table8" toColumn="Product Category"/>
        </x15:modelRelationships>
        <x15:extLst>
          <ext xmlns:x16="http://schemas.microsoft.com/office/spreadsheetml/2014/11/main" uri="{9835A34E-60A6-4A7C-AAB8-D5F71C897F49}">
            <x16:modelTimeGroupings>
              <x16:modelTimeGrouping tableName="Table1" columnName="OrderDate" columnId="OrderDate">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61" i="1" l="1"/>
  <c r="J361" i="1"/>
  <c r="I361" i="1"/>
  <c r="H361" i="1"/>
  <c r="G361" i="1"/>
  <c r="K360" i="1"/>
  <c r="J360" i="1"/>
  <c r="I360" i="1"/>
  <c r="H360" i="1"/>
  <c r="G360" i="1"/>
  <c r="K359" i="1"/>
  <c r="J359" i="1"/>
  <c r="I359" i="1"/>
  <c r="H359" i="1"/>
  <c r="G359" i="1"/>
  <c r="K358" i="1"/>
  <c r="J358" i="1"/>
  <c r="I358" i="1"/>
  <c r="H358" i="1"/>
  <c r="G358" i="1"/>
  <c r="K357" i="1"/>
  <c r="J357" i="1"/>
  <c r="I357" i="1"/>
  <c r="H357" i="1"/>
  <c r="G357" i="1"/>
  <c r="K356" i="1"/>
  <c r="J356" i="1"/>
  <c r="I356" i="1"/>
  <c r="H356" i="1"/>
  <c r="G356" i="1"/>
  <c r="K355" i="1"/>
  <c r="J355" i="1"/>
  <c r="I355" i="1"/>
  <c r="H355" i="1"/>
  <c r="G355" i="1"/>
  <c r="K354" i="1"/>
  <c r="J354" i="1"/>
  <c r="I354" i="1"/>
  <c r="H354" i="1"/>
  <c r="G354" i="1"/>
  <c r="K353" i="1"/>
  <c r="J353" i="1"/>
  <c r="I353" i="1"/>
  <c r="H353" i="1"/>
  <c r="G353" i="1"/>
  <c r="K352" i="1"/>
  <c r="J352" i="1"/>
  <c r="I352" i="1"/>
  <c r="H352" i="1"/>
  <c r="G352" i="1"/>
  <c r="K351" i="1"/>
  <c r="J351" i="1"/>
  <c r="I351" i="1"/>
  <c r="H351" i="1"/>
  <c r="G351" i="1"/>
  <c r="K350" i="1"/>
  <c r="J350" i="1"/>
  <c r="I350" i="1"/>
  <c r="H350" i="1"/>
  <c r="G350" i="1"/>
  <c r="K349" i="1"/>
  <c r="J349" i="1"/>
  <c r="I349" i="1"/>
  <c r="H349" i="1"/>
  <c r="G349" i="1"/>
  <c r="K348" i="1"/>
  <c r="J348" i="1"/>
  <c r="I348" i="1"/>
  <c r="H348" i="1"/>
  <c r="G348" i="1"/>
  <c r="K347" i="1"/>
  <c r="J347" i="1"/>
  <c r="I347" i="1"/>
  <c r="H347" i="1"/>
  <c r="G347" i="1"/>
  <c r="K346" i="1"/>
  <c r="J346" i="1"/>
  <c r="I346" i="1"/>
  <c r="H346" i="1"/>
  <c r="G346" i="1"/>
  <c r="K345" i="1"/>
  <c r="J345" i="1"/>
  <c r="I345" i="1"/>
  <c r="H345" i="1"/>
  <c r="G345" i="1"/>
  <c r="K344" i="1"/>
  <c r="J344" i="1"/>
  <c r="I344" i="1"/>
  <c r="H344" i="1"/>
  <c r="G344" i="1"/>
  <c r="K343" i="1"/>
  <c r="J343" i="1"/>
  <c r="I343" i="1"/>
  <c r="H343" i="1"/>
  <c r="G343" i="1"/>
  <c r="K342" i="1"/>
  <c r="J342" i="1"/>
  <c r="I342" i="1"/>
  <c r="H342" i="1"/>
  <c r="G342" i="1"/>
  <c r="K341" i="1"/>
  <c r="J341" i="1"/>
  <c r="I341" i="1"/>
  <c r="H341" i="1"/>
  <c r="G341" i="1"/>
  <c r="K340" i="1"/>
  <c r="J340" i="1"/>
  <c r="I340" i="1"/>
  <c r="H340" i="1"/>
  <c r="G340" i="1"/>
  <c r="K339" i="1"/>
  <c r="J339" i="1"/>
  <c r="I339" i="1"/>
  <c r="H339" i="1"/>
  <c r="G339" i="1"/>
  <c r="K338" i="1"/>
  <c r="J338" i="1"/>
  <c r="I338" i="1"/>
  <c r="H338" i="1"/>
  <c r="G338" i="1"/>
  <c r="K337" i="1"/>
  <c r="J337" i="1"/>
  <c r="I337" i="1"/>
  <c r="H337" i="1"/>
  <c r="G337" i="1"/>
  <c r="K336" i="1"/>
  <c r="J336" i="1"/>
  <c r="I336" i="1"/>
  <c r="H336" i="1"/>
  <c r="G336" i="1"/>
  <c r="K335" i="1"/>
  <c r="J335" i="1"/>
  <c r="I335" i="1"/>
  <c r="H335" i="1"/>
  <c r="G335" i="1"/>
  <c r="K334" i="1"/>
  <c r="J334" i="1"/>
  <c r="I334" i="1"/>
  <c r="H334" i="1"/>
  <c r="G334" i="1"/>
  <c r="K333" i="1"/>
  <c r="J333" i="1"/>
  <c r="I333" i="1"/>
  <c r="H333" i="1"/>
  <c r="G333" i="1"/>
  <c r="K332" i="1"/>
  <c r="J332" i="1"/>
  <c r="I332" i="1"/>
  <c r="H332" i="1"/>
  <c r="G332" i="1"/>
  <c r="K331" i="1"/>
  <c r="J331" i="1"/>
  <c r="I331" i="1"/>
  <c r="H331" i="1"/>
  <c r="G331" i="1"/>
  <c r="K330" i="1"/>
  <c r="J330" i="1"/>
  <c r="I330" i="1"/>
  <c r="H330" i="1"/>
  <c r="G330" i="1"/>
  <c r="K329" i="1"/>
  <c r="J329" i="1"/>
  <c r="I329" i="1"/>
  <c r="H329" i="1"/>
  <c r="G329" i="1"/>
  <c r="K328" i="1"/>
  <c r="J328" i="1"/>
  <c r="I328" i="1"/>
  <c r="H328" i="1"/>
  <c r="G328" i="1"/>
  <c r="K327" i="1"/>
  <c r="J327" i="1"/>
  <c r="I327" i="1"/>
  <c r="H327" i="1"/>
  <c r="G327" i="1"/>
  <c r="K326" i="1"/>
  <c r="J326" i="1"/>
  <c r="I326" i="1"/>
  <c r="H326" i="1"/>
  <c r="G326" i="1"/>
  <c r="K325" i="1"/>
  <c r="J325" i="1"/>
  <c r="I325" i="1"/>
  <c r="H325" i="1"/>
  <c r="G325" i="1"/>
  <c r="K324" i="1"/>
  <c r="J324" i="1"/>
  <c r="I324" i="1"/>
  <c r="H324" i="1"/>
  <c r="G324" i="1"/>
  <c r="K323" i="1"/>
  <c r="J323" i="1"/>
  <c r="I323" i="1"/>
  <c r="H323" i="1"/>
  <c r="G323" i="1"/>
  <c r="K322" i="1"/>
  <c r="J322" i="1"/>
  <c r="I322" i="1"/>
  <c r="H322" i="1"/>
  <c r="G322" i="1"/>
  <c r="K321" i="1"/>
  <c r="J321" i="1"/>
  <c r="I321" i="1"/>
  <c r="H321" i="1"/>
  <c r="G321" i="1"/>
  <c r="K320" i="1"/>
  <c r="J320" i="1"/>
  <c r="I320" i="1"/>
  <c r="H320" i="1"/>
  <c r="G320" i="1"/>
  <c r="K319" i="1"/>
  <c r="J319" i="1"/>
  <c r="I319" i="1"/>
  <c r="H319" i="1"/>
  <c r="G319" i="1"/>
  <c r="K318" i="1"/>
  <c r="J318" i="1"/>
  <c r="I318" i="1"/>
  <c r="H318" i="1"/>
  <c r="G318" i="1"/>
  <c r="K317" i="1"/>
  <c r="J317" i="1"/>
  <c r="I317" i="1"/>
  <c r="H317" i="1"/>
  <c r="G317" i="1"/>
  <c r="K316" i="1"/>
  <c r="J316" i="1"/>
  <c r="I316" i="1"/>
  <c r="H316" i="1"/>
  <c r="G316" i="1"/>
  <c r="K315" i="1"/>
  <c r="J315" i="1"/>
  <c r="I315" i="1"/>
  <c r="H315" i="1"/>
  <c r="G315" i="1"/>
  <c r="K314" i="1"/>
  <c r="J314" i="1"/>
  <c r="I314" i="1"/>
  <c r="H314" i="1"/>
  <c r="G314" i="1"/>
  <c r="K313" i="1"/>
  <c r="J313" i="1"/>
  <c r="I313" i="1"/>
  <c r="H313" i="1"/>
  <c r="G313" i="1"/>
  <c r="K312" i="1"/>
  <c r="J312" i="1"/>
  <c r="I312" i="1"/>
  <c r="H312" i="1"/>
  <c r="G312" i="1"/>
  <c r="K311" i="1"/>
  <c r="J311" i="1"/>
  <c r="I311" i="1"/>
  <c r="H311" i="1"/>
  <c r="G311" i="1"/>
  <c r="K310" i="1"/>
  <c r="J310" i="1"/>
  <c r="I310" i="1"/>
  <c r="H310" i="1"/>
  <c r="G310" i="1"/>
  <c r="K309" i="1"/>
  <c r="J309" i="1"/>
  <c r="I309" i="1"/>
  <c r="H309" i="1"/>
  <c r="G309" i="1"/>
  <c r="K308" i="1"/>
  <c r="J308" i="1"/>
  <c r="I308" i="1"/>
  <c r="H308" i="1"/>
  <c r="G308" i="1"/>
  <c r="K307" i="1"/>
  <c r="J307" i="1"/>
  <c r="I307" i="1"/>
  <c r="H307" i="1"/>
  <c r="G307" i="1"/>
  <c r="K306" i="1"/>
  <c r="J306" i="1"/>
  <c r="I306" i="1"/>
  <c r="H306" i="1"/>
  <c r="G306" i="1"/>
  <c r="K305" i="1"/>
  <c r="J305" i="1"/>
  <c r="I305" i="1"/>
  <c r="H305" i="1"/>
  <c r="G305" i="1"/>
  <c r="K304" i="1"/>
  <c r="J304" i="1"/>
  <c r="I304" i="1"/>
  <c r="H304" i="1"/>
  <c r="G304" i="1"/>
  <c r="K303" i="1"/>
  <c r="J303" i="1"/>
  <c r="I303" i="1"/>
  <c r="H303" i="1"/>
  <c r="G303" i="1"/>
  <c r="K302" i="1"/>
  <c r="J302" i="1"/>
  <c r="I302" i="1"/>
  <c r="H302" i="1"/>
  <c r="G302" i="1"/>
  <c r="K301" i="1"/>
  <c r="J301" i="1"/>
  <c r="I301" i="1"/>
  <c r="H301" i="1"/>
  <c r="G301" i="1"/>
  <c r="K300" i="1"/>
  <c r="J300" i="1"/>
  <c r="I300" i="1"/>
  <c r="H300" i="1"/>
  <c r="G300" i="1"/>
  <c r="K299" i="1"/>
  <c r="J299" i="1"/>
  <c r="I299" i="1"/>
  <c r="H299" i="1"/>
  <c r="G299" i="1"/>
  <c r="K298" i="1"/>
  <c r="J298" i="1"/>
  <c r="I298" i="1"/>
  <c r="H298" i="1"/>
  <c r="G298" i="1"/>
  <c r="K297" i="1"/>
  <c r="J297" i="1"/>
  <c r="I297" i="1"/>
  <c r="H297" i="1"/>
  <c r="G297" i="1"/>
  <c r="K296" i="1"/>
  <c r="J296" i="1"/>
  <c r="I296" i="1"/>
  <c r="H296" i="1"/>
  <c r="G296" i="1"/>
  <c r="K295" i="1"/>
  <c r="J295" i="1"/>
  <c r="I295" i="1"/>
  <c r="H295" i="1"/>
  <c r="G295" i="1"/>
  <c r="K294" i="1"/>
  <c r="J294" i="1"/>
  <c r="I294" i="1"/>
  <c r="H294" i="1"/>
  <c r="G294" i="1"/>
  <c r="K293" i="1"/>
  <c r="J293" i="1"/>
  <c r="I293" i="1"/>
  <c r="H293" i="1"/>
  <c r="G293" i="1"/>
  <c r="K292" i="1"/>
  <c r="J292" i="1"/>
  <c r="I292" i="1"/>
  <c r="H292" i="1"/>
  <c r="G292" i="1"/>
  <c r="K291" i="1"/>
  <c r="J291" i="1"/>
  <c r="I291" i="1"/>
  <c r="H291" i="1"/>
  <c r="G291" i="1"/>
  <c r="K290" i="1"/>
  <c r="J290" i="1"/>
  <c r="I290" i="1"/>
  <c r="H290" i="1"/>
  <c r="G290" i="1"/>
  <c r="K289" i="1"/>
  <c r="J289" i="1"/>
  <c r="I289" i="1"/>
  <c r="H289" i="1"/>
  <c r="G289" i="1"/>
  <c r="K288" i="1"/>
  <c r="J288" i="1"/>
  <c r="I288" i="1"/>
  <c r="H288" i="1"/>
  <c r="G288" i="1"/>
  <c r="K287" i="1"/>
  <c r="J287" i="1"/>
  <c r="I287" i="1"/>
  <c r="H287" i="1"/>
  <c r="G287" i="1"/>
  <c r="K286" i="1"/>
  <c r="J286" i="1"/>
  <c r="I286" i="1"/>
  <c r="H286" i="1"/>
  <c r="G286" i="1"/>
  <c r="K285" i="1"/>
  <c r="J285" i="1"/>
  <c r="I285" i="1"/>
  <c r="H285" i="1"/>
  <c r="G285" i="1"/>
  <c r="K284" i="1"/>
  <c r="J284" i="1"/>
  <c r="I284" i="1"/>
  <c r="H284" i="1"/>
  <c r="G284" i="1"/>
  <c r="K283" i="1"/>
  <c r="J283" i="1"/>
  <c r="I283" i="1"/>
  <c r="H283" i="1"/>
  <c r="G283" i="1"/>
  <c r="K282" i="1"/>
  <c r="J282" i="1"/>
  <c r="I282" i="1"/>
  <c r="H282" i="1"/>
  <c r="G282" i="1"/>
  <c r="K281" i="1"/>
  <c r="J281" i="1"/>
  <c r="I281" i="1"/>
  <c r="H281" i="1"/>
  <c r="G281" i="1"/>
  <c r="K280" i="1"/>
  <c r="J280" i="1"/>
  <c r="I280" i="1"/>
  <c r="H280" i="1"/>
  <c r="G280" i="1"/>
  <c r="K279" i="1"/>
  <c r="J279" i="1"/>
  <c r="I279" i="1"/>
  <c r="H279" i="1"/>
  <c r="G279" i="1"/>
  <c r="K278" i="1"/>
  <c r="J278" i="1"/>
  <c r="I278" i="1"/>
  <c r="H278" i="1"/>
  <c r="G278" i="1"/>
  <c r="K277" i="1"/>
  <c r="J277" i="1"/>
  <c r="I277" i="1"/>
  <c r="H277" i="1"/>
  <c r="G277" i="1"/>
  <c r="K276" i="1"/>
  <c r="J276" i="1"/>
  <c r="I276" i="1"/>
  <c r="H276" i="1"/>
  <c r="G276" i="1"/>
  <c r="K275" i="1"/>
  <c r="J275" i="1"/>
  <c r="I275" i="1"/>
  <c r="H275" i="1"/>
  <c r="G275" i="1"/>
  <c r="K274" i="1"/>
  <c r="J274" i="1"/>
  <c r="I274" i="1"/>
  <c r="H274" i="1"/>
  <c r="G274" i="1"/>
  <c r="K273" i="1"/>
  <c r="J273" i="1"/>
  <c r="I273" i="1"/>
  <c r="H273" i="1"/>
  <c r="G273" i="1"/>
  <c r="K272" i="1"/>
  <c r="J272" i="1"/>
  <c r="I272" i="1"/>
  <c r="H272" i="1"/>
  <c r="G272" i="1"/>
  <c r="K271" i="1"/>
  <c r="J271" i="1"/>
  <c r="I271" i="1"/>
  <c r="H271" i="1"/>
  <c r="G271" i="1"/>
  <c r="K270" i="1"/>
  <c r="J270" i="1"/>
  <c r="I270" i="1"/>
  <c r="H270" i="1"/>
  <c r="G270" i="1"/>
  <c r="K269" i="1"/>
  <c r="J269" i="1"/>
  <c r="I269" i="1"/>
  <c r="H269" i="1"/>
  <c r="G269" i="1"/>
  <c r="K268" i="1"/>
  <c r="J268" i="1"/>
  <c r="I268" i="1"/>
  <c r="H268" i="1"/>
  <c r="G268" i="1"/>
  <c r="K267" i="1"/>
  <c r="J267" i="1"/>
  <c r="I267" i="1"/>
  <c r="H267" i="1"/>
  <c r="G267" i="1"/>
  <c r="K266" i="1"/>
  <c r="J266" i="1"/>
  <c r="I266" i="1"/>
  <c r="H266" i="1"/>
  <c r="G266" i="1"/>
  <c r="K265" i="1"/>
  <c r="J265" i="1"/>
  <c r="I265" i="1"/>
  <c r="H265" i="1"/>
  <c r="G265" i="1"/>
  <c r="K264" i="1"/>
  <c r="J264" i="1"/>
  <c r="I264" i="1"/>
  <c r="H264" i="1"/>
  <c r="G264" i="1"/>
  <c r="K263" i="1"/>
  <c r="J263" i="1"/>
  <c r="I263" i="1"/>
  <c r="H263" i="1"/>
  <c r="G263" i="1"/>
  <c r="K262" i="1"/>
  <c r="J262" i="1"/>
  <c r="I262" i="1"/>
  <c r="H262" i="1"/>
  <c r="G262" i="1"/>
  <c r="K261" i="1"/>
  <c r="J261" i="1"/>
  <c r="I261" i="1"/>
  <c r="H261" i="1"/>
  <c r="G261" i="1"/>
  <c r="K260" i="1"/>
  <c r="J260" i="1"/>
  <c r="I260" i="1"/>
  <c r="H260" i="1"/>
  <c r="G260" i="1"/>
  <c r="K259" i="1"/>
  <c r="J259" i="1"/>
  <c r="I259" i="1"/>
  <c r="H259" i="1"/>
  <c r="G259" i="1"/>
  <c r="K258" i="1"/>
  <c r="J258" i="1"/>
  <c r="I258" i="1"/>
  <c r="H258" i="1"/>
  <c r="G258" i="1"/>
  <c r="K257" i="1"/>
  <c r="J257" i="1"/>
  <c r="I257" i="1"/>
  <c r="H257" i="1"/>
  <c r="G257" i="1"/>
  <c r="K256" i="1"/>
  <c r="J256" i="1"/>
  <c r="I256" i="1"/>
  <c r="H256" i="1"/>
  <c r="G256" i="1"/>
  <c r="K255" i="1"/>
  <c r="J255" i="1"/>
  <c r="I255" i="1"/>
  <c r="H255" i="1"/>
  <c r="G255" i="1"/>
  <c r="K254" i="1"/>
  <c r="J254" i="1"/>
  <c r="I254" i="1"/>
  <c r="H254" i="1"/>
  <c r="G254" i="1"/>
  <c r="K253" i="1"/>
  <c r="J253" i="1"/>
  <c r="I253" i="1"/>
  <c r="H253" i="1"/>
  <c r="G253" i="1"/>
  <c r="K252" i="1"/>
  <c r="J252" i="1"/>
  <c r="I252" i="1"/>
  <c r="H252" i="1"/>
  <c r="G252" i="1"/>
  <c r="K251" i="1"/>
  <c r="J251" i="1"/>
  <c r="I251" i="1"/>
  <c r="H251" i="1"/>
  <c r="G251" i="1"/>
  <c r="K250" i="1"/>
  <c r="J250" i="1"/>
  <c r="I250" i="1"/>
  <c r="H250" i="1"/>
  <c r="G250" i="1"/>
  <c r="K249" i="1"/>
  <c r="J249" i="1"/>
  <c r="I249" i="1"/>
  <c r="H249" i="1"/>
  <c r="G249" i="1"/>
  <c r="K248" i="1"/>
  <c r="J248" i="1"/>
  <c r="I248" i="1"/>
  <c r="H248" i="1"/>
  <c r="G248" i="1"/>
  <c r="K247" i="1"/>
  <c r="J247" i="1"/>
  <c r="I247" i="1"/>
  <c r="H247" i="1"/>
  <c r="G247" i="1"/>
  <c r="K246" i="1"/>
  <c r="J246" i="1"/>
  <c r="I246" i="1"/>
  <c r="H246" i="1"/>
  <c r="G246" i="1"/>
  <c r="K245" i="1"/>
  <c r="J245" i="1"/>
  <c r="I245" i="1"/>
  <c r="H245" i="1"/>
  <c r="G245" i="1"/>
  <c r="K244" i="1"/>
  <c r="J244" i="1"/>
  <c r="I244" i="1"/>
  <c r="H244" i="1"/>
  <c r="G244" i="1"/>
  <c r="K243" i="1"/>
  <c r="J243" i="1"/>
  <c r="I243" i="1"/>
  <c r="H243" i="1"/>
  <c r="G243" i="1"/>
  <c r="K242" i="1"/>
  <c r="J242" i="1"/>
  <c r="I242" i="1"/>
  <c r="H242" i="1"/>
  <c r="G242" i="1"/>
  <c r="K241" i="1"/>
  <c r="J241" i="1"/>
  <c r="I241" i="1"/>
  <c r="H241" i="1"/>
  <c r="G241" i="1"/>
  <c r="K240" i="1"/>
  <c r="J240" i="1"/>
  <c r="I240" i="1"/>
  <c r="H240" i="1"/>
  <c r="G240" i="1"/>
  <c r="K239" i="1"/>
  <c r="J239" i="1"/>
  <c r="I239" i="1"/>
  <c r="H239" i="1"/>
  <c r="G239" i="1"/>
  <c r="K238" i="1"/>
  <c r="J238" i="1"/>
  <c r="I238" i="1"/>
  <c r="H238" i="1"/>
  <c r="G238" i="1"/>
  <c r="K237" i="1"/>
  <c r="J237" i="1"/>
  <c r="I237" i="1"/>
  <c r="H237" i="1"/>
  <c r="G237" i="1"/>
  <c r="K236" i="1"/>
  <c r="J236" i="1"/>
  <c r="I236" i="1"/>
  <c r="H236" i="1"/>
  <c r="G236" i="1"/>
  <c r="K235" i="1"/>
  <c r="J235" i="1"/>
  <c r="I235" i="1"/>
  <c r="H235" i="1"/>
  <c r="G235" i="1"/>
  <c r="K234" i="1"/>
  <c r="J234" i="1"/>
  <c r="I234" i="1"/>
  <c r="H234" i="1"/>
  <c r="G234" i="1"/>
  <c r="K233" i="1"/>
  <c r="J233" i="1"/>
  <c r="I233" i="1"/>
  <c r="H233" i="1"/>
  <c r="G233" i="1"/>
  <c r="K232" i="1"/>
  <c r="J232" i="1"/>
  <c r="I232" i="1"/>
  <c r="H232" i="1"/>
  <c r="G232" i="1"/>
  <c r="K231" i="1"/>
  <c r="J231" i="1"/>
  <c r="I231" i="1"/>
  <c r="H231" i="1"/>
  <c r="G231" i="1"/>
  <c r="K230" i="1"/>
  <c r="J230" i="1"/>
  <c r="I230" i="1"/>
  <c r="H230" i="1"/>
  <c r="G230" i="1"/>
  <c r="K229" i="1"/>
  <c r="J229" i="1"/>
  <c r="I229" i="1"/>
  <c r="H229" i="1"/>
  <c r="G229" i="1"/>
  <c r="K228" i="1"/>
  <c r="J228" i="1"/>
  <c r="I228" i="1"/>
  <c r="H228" i="1"/>
  <c r="G228" i="1"/>
  <c r="K227" i="1"/>
  <c r="J227" i="1"/>
  <c r="I227" i="1"/>
  <c r="H227" i="1"/>
  <c r="G227" i="1"/>
  <c r="K226" i="1"/>
  <c r="J226" i="1"/>
  <c r="I226" i="1"/>
  <c r="H226" i="1"/>
  <c r="G226" i="1"/>
  <c r="K225" i="1"/>
  <c r="J225" i="1"/>
  <c r="I225" i="1"/>
  <c r="H225" i="1"/>
  <c r="G225" i="1"/>
  <c r="K224" i="1"/>
  <c r="J224" i="1"/>
  <c r="I224" i="1"/>
  <c r="H224" i="1"/>
  <c r="G224" i="1"/>
  <c r="K223" i="1"/>
  <c r="J223" i="1"/>
  <c r="I223" i="1"/>
  <c r="H223" i="1"/>
  <c r="G223" i="1"/>
  <c r="K222" i="1"/>
  <c r="J222" i="1"/>
  <c r="I222" i="1"/>
  <c r="H222" i="1"/>
  <c r="G222" i="1"/>
  <c r="K221" i="1"/>
  <c r="J221" i="1"/>
  <c r="I221" i="1"/>
  <c r="H221" i="1"/>
  <c r="G221" i="1"/>
  <c r="K220" i="1"/>
  <c r="J220" i="1"/>
  <c r="I220" i="1"/>
  <c r="H220" i="1"/>
  <c r="G220" i="1"/>
  <c r="K219" i="1"/>
  <c r="J219" i="1"/>
  <c r="I219" i="1"/>
  <c r="H219" i="1"/>
  <c r="G219" i="1"/>
  <c r="K218" i="1"/>
  <c r="J218" i="1"/>
  <c r="I218" i="1"/>
  <c r="H218" i="1"/>
  <c r="G218" i="1"/>
  <c r="K217" i="1"/>
  <c r="J217" i="1"/>
  <c r="I217" i="1"/>
  <c r="H217" i="1"/>
  <c r="G217" i="1"/>
  <c r="K216" i="1"/>
  <c r="J216" i="1"/>
  <c r="I216" i="1"/>
  <c r="H216" i="1"/>
  <c r="G216" i="1"/>
  <c r="K215" i="1"/>
  <c r="J215" i="1"/>
  <c r="I215" i="1"/>
  <c r="H215" i="1"/>
  <c r="G215" i="1"/>
  <c r="K214" i="1"/>
  <c r="J214" i="1"/>
  <c r="I214" i="1"/>
  <c r="H214" i="1"/>
  <c r="G214" i="1"/>
  <c r="K213" i="1"/>
  <c r="J213" i="1"/>
  <c r="I213" i="1"/>
  <c r="H213" i="1"/>
  <c r="G213" i="1"/>
  <c r="K212" i="1"/>
  <c r="J212" i="1"/>
  <c r="I212" i="1"/>
  <c r="H212" i="1"/>
  <c r="G212" i="1"/>
  <c r="K211" i="1"/>
  <c r="J211" i="1"/>
  <c r="I211" i="1"/>
  <c r="H211" i="1"/>
  <c r="G211" i="1"/>
  <c r="K210" i="1"/>
  <c r="J210" i="1"/>
  <c r="I210" i="1"/>
  <c r="H210" i="1"/>
  <c r="G210" i="1"/>
  <c r="K209" i="1"/>
  <c r="J209" i="1"/>
  <c r="I209" i="1"/>
  <c r="H209" i="1"/>
  <c r="G209" i="1"/>
  <c r="K208" i="1"/>
  <c r="J208" i="1"/>
  <c r="I208" i="1"/>
  <c r="H208" i="1"/>
  <c r="G208" i="1"/>
  <c r="K207" i="1"/>
  <c r="J207" i="1"/>
  <c r="I207" i="1"/>
  <c r="H207" i="1"/>
  <c r="G207" i="1"/>
  <c r="K206" i="1"/>
  <c r="J206" i="1"/>
  <c r="I206" i="1"/>
  <c r="H206" i="1"/>
  <c r="G206" i="1"/>
  <c r="K205" i="1"/>
  <c r="J205" i="1"/>
  <c r="I205" i="1"/>
  <c r="H205" i="1"/>
  <c r="G205" i="1"/>
  <c r="K204" i="1"/>
  <c r="J204" i="1"/>
  <c r="I204" i="1"/>
  <c r="H204" i="1"/>
  <c r="G204" i="1"/>
  <c r="K203" i="1"/>
  <c r="J203" i="1"/>
  <c r="I203" i="1"/>
  <c r="H203" i="1"/>
  <c r="G203" i="1"/>
  <c r="K202" i="1"/>
  <c r="J202" i="1"/>
  <c r="I202" i="1"/>
  <c r="H202" i="1"/>
  <c r="G202" i="1"/>
  <c r="K201" i="1"/>
  <c r="J201" i="1"/>
  <c r="I201" i="1"/>
  <c r="H201" i="1"/>
  <c r="G201" i="1"/>
  <c r="K200" i="1"/>
  <c r="J200" i="1"/>
  <c r="I200" i="1"/>
  <c r="H200" i="1"/>
  <c r="G200" i="1"/>
  <c r="K199" i="1"/>
  <c r="J199" i="1"/>
  <c r="I199" i="1"/>
  <c r="H199" i="1"/>
  <c r="G199" i="1"/>
  <c r="K198" i="1"/>
  <c r="J198" i="1"/>
  <c r="I198" i="1"/>
  <c r="H198" i="1"/>
  <c r="G198" i="1"/>
  <c r="K197" i="1"/>
  <c r="J197" i="1"/>
  <c r="I197" i="1"/>
  <c r="H197" i="1"/>
  <c r="G197" i="1"/>
  <c r="K196" i="1"/>
  <c r="J196" i="1"/>
  <c r="I196" i="1"/>
  <c r="H196" i="1"/>
  <c r="G196" i="1"/>
  <c r="K195" i="1"/>
  <c r="J195" i="1"/>
  <c r="I195" i="1"/>
  <c r="H195" i="1"/>
  <c r="G195" i="1"/>
  <c r="K194" i="1"/>
  <c r="J194" i="1"/>
  <c r="I194" i="1"/>
  <c r="H194" i="1"/>
  <c r="G194" i="1"/>
  <c r="K193" i="1"/>
  <c r="J193" i="1"/>
  <c r="I193" i="1"/>
  <c r="H193" i="1"/>
  <c r="G193" i="1"/>
  <c r="K192" i="1"/>
  <c r="J192" i="1"/>
  <c r="I192" i="1"/>
  <c r="H192" i="1"/>
  <c r="G192" i="1"/>
  <c r="K191" i="1"/>
  <c r="J191" i="1"/>
  <c r="I191" i="1"/>
  <c r="H191" i="1"/>
  <c r="G191" i="1"/>
  <c r="K190" i="1"/>
  <c r="J190" i="1"/>
  <c r="I190" i="1"/>
  <c r="H190" i="1"/>
  <c r="G190" i="1"/>
  <c r="K189" i="1"/>
  <c r="J189" i="1"/>
  <c r="I189" i="1"/>
  <c r="H189" i="1"/>
  <c r="G189" i="1"/>
  <c r="K188" i="1"/>
  <c r="J188" i="1"/>
  <c r="I188" i="1"/>
  <c r="H188" i="1"/>
  <c r="G188" i="1"/>
  <c r="K187" i="1"/>
  <c r="J187" i="1"/>
  <c r="I187" i="1"/>
  <c r="H187" i="1"/>
  <c r="G187" i="1"/>
  <c r="K186" i="1"/>
  <c r="J186" i="1"/>
  <c r="I186" i="1"/>
  <c r="H186" i="1"/>
  <c r="G186" i="1"/>
  <c r="K185" i="1"/>
  <c r="J185" i="1"/>
  <c r="I185" i="1"/>
  <c r="H185" i="1"/>
  <c r="G185" i="1"/>
  <c r="K184" i="1"/>
  <c r="J184" i="1"/>
  <c r="I184" i="1"/>
  <c r="H184" i="1"/>
  <c r="G184" i="1"/>
  <c r="K183" i="1"/>
  <c r="J183" i="1"/>
  <c r="I183" i="1"/>
  <c r="H183" i="1"/>
  <c r="G183" i="1"/>
  <c r="K182" i="1"/>
  <c r="J182" i="1"/>
  <c r="I182" i="1"/>
  <c r="H182" i="1"/>
  <c r="G182" i="1"/>
  <c r="K181" i="1"/>
  <c r="J181" i="1"/>
  <c r="I181" i="1"/>
  <c r="H181" i="1"/>
  <c r="G181" i="1"/>
  <c r="K180" i="1"/>
  <c r="J180" i="1"/>
  <c r="I180" i="1"/>
  <c r="H180" i="1"/>
  <c r="G180" i="1"/>
  <c r="K179" i="1"/>
  <c r="J179" i="1"/>
  <c r="I179" i="1"/>
  <c r="H179" i="1"/>
  <c r="G179" i="1"/>
  <c r="K178" i="1"/>
  <c r="J178" i="1"/>
  <c r="I178" i="1"/>
  <c r="H178" i="1"/>
  <c r="G178" i="1"/>
  <c r="K177" i="1"/>
  <c r="J177" i="1"/>
  <c r="I177" i="1"/>
  <c r="H177" i="1"/>
  <c r="G177" i="1"/>
  <c r="K176" i="1"/>
  <c r="J176" i="1"/>
  <c r="I176" i="1"/>
  <c r="H176" i="1"/>
  <c r="G176" i="1"/>
  <c r="K175" i="1"/>
  <c r="J175" i="1"/>
  <c r="I175" i="1"/>
  <c r="H175" i="1"/>
  <c r="G175" i="1"/>
  <c r="K174" i="1"/>
  <c r="J174" i="1"/>
  <c r="I174" i="1"/>
  <c r="H174" i="1"/>
  <c r="G174" i="1"/>
  <c r="K173" i="1"/>
  <c r="J173" i="1"/>
  <c r="I173" i="1"/>
  <c r="H173" i="1"/>
  <c r="G173" i="1"/>
  <c r="K172" i="1"/>
  <c r="J172" i="1"/>
  <c r="I172" i="1"/>
  <c r="H172" i="1"/>
  <c r="G172" i="1"/>
  <c r="K171" i="1"/>
  <c r="J171" i="1"/>
  <c r="I171" i="1"/>
  <c r="H171" i="1"/>
  <c r="G171" i="1"/>
  <c r="K170" i="1"/>
  <c r="J170" i="1"/>
  <c r="I170" i="1"/>
  <c r="H170" i="1"/>
  <c r="G170" i="1"/>
  <c r="K169" i="1"/>
  <c r="J169" i="1"/>
  <c r="I169" i="1"/>
  <c r="H169" i="1"/>
  <c r="G169" i="1"/>
  <c r="K168" i="1"/>
  <c r="J168" i="1"/>
  <c r="I168" i="1"/>
  <c r="H168" i="1"/>
  <c r="G168" i="1"/>
  <c r="K167" i="1"/>
  <c r="J167" i="1"/>
  <c r="I167" i="1"/>
  <c r="H167" i="1"/>
  <c r="G167" i="1"/>
  <c r="K166" i="1"/>
  <c r="J166" i="1"/>
  <c r="I166" i="1"/>
  <c r="H166" i="1"/>
  <c r="G166" i="1"/>
  <c r="K165" i="1"/>
  <c r="J165" i="1"/>
  <c r="I165" i="1"/>
  <c r="H165" i="1"/>
  <c r="G165" i="1"/>
  <c r="K164" i="1"/>
  <c r="J164" i="1"/>
  <c r="I164" i="1"/>
  <c r="H164" i="1"/>
  <c r="G164" i="1"/>
  <c r="K163" i="1"/>
  <c r="J163" i="1"/>
  <c r="I163" i="1"/>
  <c r="H163" i="1"/>
  <c r="G163" i="1"/>
  <c r="K162" i="1"/>
  <c r="J162" i="1"/>
  <c r="I162" i="1"/>
  <c r="H162" i="1"/>
  <c r="G162" i="1"/>
  <c r="K161" i="1"/>
  <c r="J161" i="1"/>
  <c r="I161" i="1"/>
  <c r="H161" i="1"/>
  <c r="G161" i="1"/>
  <c r="K160" i="1"/>
  <c r="J160" i="1"/>
  <c r="I160" i="1"/>
  <c r="H160" i="1"/>
  <c r="G160" i="1"/>
  <c r="K159" i="1"/>
  <c r="J159" i="1"/>
  <c r="I159" i="1"/>
  <c r="H159" i="1"/>
  <c r="G159" i="1"/>
  <c r="K158" i="1"/>
  <c r="J158" i="1"/>
  <c r="I158" i="1"/>
  <c r="H158" i="1"/>
  <c r="G158" i="1"/>
  <c r="K157" i="1"/>
  <c r="J157" i="1"/>
  <c r="I157" i="1"/>
  <c r="H157" i="1"/>
  <c r="G157" i="1"/>
  <c r="K156" i="1"/>
  <c r="J156" i="1"/>
  <c r="I156" i="1"/>
  <c r="H156" i="1"/>
  <c r="G156" i="1"/>
  <c r="K155" i="1"/>
  <c r="J155" i="1"/>
  <c r="I155" i="1"/>
  <c r="H155" i="1"/>
  <c r="G155" i="1"/>
  <c r="K154" i="1"/>
  <c r="J154" i="1"/>
  <c r="I154" i="1"/>
  <c r="H154" i="1"/>
  <c r="G154" i="1"/>
  <c r="K153" i="1"/>
  <c r="J153" i="1"/>
  <c r="I153" i="1"/>
  <c r="H153" i="1"/>
  <c r="G153" i="1"/>
  <c r="K152" i="1"/>
  <c r="J152" i="1"/>
  <c r="I152" i="1"/>
  <c r="H152" i="1"/>
  <c r="G152" i="1"/>
  <c r="K151" i="1"/>
  <c r="J151" i="1"/>
  <c r="I151" i="1"/>
  <c r="H151" i="1"/>
  <c r="G151" i="1"/>
  <c r="K150" i="1"/>
  <c r="J150" i="1"/>
  <c r="I150" i="1"/>
  <c r="H150" i="1"/>
  <c r="G150" i="1"/>
  <c r="K149" i="1"/>
  <c r="J149" i="1"/>
  <c r="I149" i="1"/>
  <c r="H149" i="1"/>
  <c r="G149" i="1"/>
  <c r="K148" i="1"/>
  <c r="J148" i="1"/>
  <c r="I148" i="1"/>
  <c r="H148" i="1"/>
  <c r="G148" i="1"/>
  <c r="K147" i="1"/>
  <c r="J147" i="1"/>
  <c r="I147" i="1"/>
  <c r="H147" i="1"/>
  <c r="G147" i="1"/>
  <c r="K146" i="1"/>
  <c r="J146" i="1"/>
  <c r="I146" i="1"/>
  <c r="H146" i="1"/>
  <c r="G146" i="1"/>
  <c r="K145" i="1"/>
  <c r="J145" i="1"/>
  <c r="I145" i="1"/>
  <c r="H145" i="1"/>
  <c r="G145" i="1"/>
  <c r="K144" i="1"/>
  <c r="J144" i="1"/>
  <c r="I144" i="1"/>
  <c r="H144" i="1"/>
  <c r="G144" i="1"/>
  <c r="K143" i="1"/>
  <c r="J143" i="1"/>
  <c r="I143" i="1"/>
  <c r="H143" i="1"/>
  <c r="G143" i="1"/>
  <c r="K142" i="1"/>
  <c r="J142" i="1"/>
  <c r="I142" i="1"/>
  <c r="H142" i="1"/>
  <c r="G142" i="1"/>
  <c r="K141" i="1"/>
  <c r="J141" i="1"/>
  <c r="I141" i="1"/>
  <c r="H141" i="1"/>
  <c r="G141" i="1"/>
  <c r="K140" i="1"/>
  <c r="J140" i="1"/>
  <c r="I140" i="1"/>
  <c r="H140" i="1"/>
  <c r="G140" i="1"/>
  <c r="K139" i="1"/>
  <c r="J139" i="1"/>
  <c r="I139" i="1"/>
  <c r="H139" i="1"/>
  <c r="G139" i="1"/>
  <c r="K138" i="1"/>
  <c r="J138" i="1"/>
  <c r="I138" i="1"/>
  <c r="H138" i="1"/>
  <c r="G138" i="1"/>
  <c r="K137" i="1"/>
  <c r="J137" i="1"/>
  <c r="I137" i="1"/>
  <c r="H137" i="1"/>
  <c r="G137" i="1"/>
  <c r="K136" i="1"/>
  <c r="J136" i="1"/>
  <c r="I136" i="1"/>
  <c r="H136" i="1"/>
  <c r="G136" i="1"/>
  <c r="K135" i="1"/>
  <c r="J135" i="1"/>
  <c r="I135" i="1"/>
  <c r="H135" i="1"/>
  <c r="G135" i="1"/>
  <c r="K134" i="1"/>
  <c r="J134" i="1"/>
  <c r="I134" i="1"/>
  <c r="H134" i="1"/>
  <c r="G134" i="1"/>
  <c r="K133" i="1"/>
  <c r="J133" i="1"/>
  <c r="I133" i="1"/>
  <c r="H133" i="1"/>
  <c r="G133" i="1"/>
  <c r="K132" i="1"/>
  <c r="J132" i="1"/>
  <c r="I132" i="1"/>
  <c r="H132" i="1"/>
  <c r="G132" i="1"/>
  <c r="K131" i="1"/>
  <c r="J131" i="1"/>
  <c r="I131" i="1"/>
  <c r="H131" i="1"/>
  <c r="G131" i="1"/>
  <c r="K130" i="1"/>
  <c r="J130" i="1"/>
  <c r="I130" i="1"/>
  <c r="H130" i="1"/>
  <c r="G130" i="1"/>
  <c r="K129" i="1"/>
  <c r="J129" i="1"/>
  <c r="I129" i="1"/>
  <c r="H129" i="1"/>
  <c r="G129" i="1"/>
  <c r="K128" i="1"/>
  <c r="J128" i="1"/>
  <c r="I128" i="1"/>
  <c r="H128" i="1"/>
  <c r="G128" i="1"/>
  <c r="K127" i="1"/>
  <c r="J127" i="1"/>
  <c r="I127" i="1"/>
  <c r="H127" i="1"/>
  <c r="G127" i="1"/>
  <c r="K126" i="1"/>
  <c r="J126" i="1"/>
  <c r="I126" i="1"/>
  <c r="H126" i="1"/>
  <c r="G126" i="1"/>
  <c r="K125" i="1"/>
  <c r="J125" i="1"/>
  <c r="I125" i="1"/>
  <c r="H125" i="1"/>
  <c r="G125" i="1"/>
  <c r="K124" i="1"/>
  <c r="J124" i="1"/>
  <c r="I124" i="1"/>
  <c r="H124" i="1"/>
  <c r="G124" i="1"/>
  <c r="K123" i="1"/>
  <c r="J123" i="1"/>
  <c r="I123" i="1"/>
  <c r="H123" i="1"/>
  <c r="G123" i="1"/>
  <c r="K122" i="1"/>
  <c r="J122" i="1"/>
  <c r="I122" i="1"/>
  <c r="H122" i="1"/>
  <c r="G122" i="1"/>
  <c r="K121" i="1"/>
  <c r="J121" i="1"/>
  <c r="I121" i="1"/>
  <c r="H121" i="1"/>
  <c r="G121" i="1"/>
  <c r="K120" i="1"/>
  <c r="J120" i="1"/>
  <c r="I120" i="1"/>
  <c r="H120" i="1"/>
  <c r="G120" i="1"/>
  <c r="K119" i="1"/>
  <c r="J119" i="1"/>
  <c r="I119" i="1"/>
  <c r="H119" i="1"/>
  <c r="G119" i="1"/>
  <c r="K118" i="1"/>
  <c r="J118" i="1"/>
  <c r="I118" i="1"/>
  <c r="H118" i="1"/>
  <c r="G118" i="1"/>
  <c r="K117" i="1"/>
  <c r="J117" i="1"/>
  <c r="I117" i="1"/>
  <c r="H117" i="1"/>
  <c r="G117" i="1"/>
  <c r="K116" i="1"/>
  <c r="J116" i="1"/>
  <c r="I116" i="1"/>
  <c r="H116" i="1"/>
  <c r="G116" i="1"/>
  <c r="K115" i="1"/>
  <c r="J115" i="1"/>
  <c r="I115" i="1"/>
  <c r="H115" i="1"/>
  <c r="G115" i="1"/>
  <c r="K114" i="1"/>
  <c r="J114" i="1"/>
  <c r="I114" i="1"/>
  <c r="H114" i="1"/>
  <c r="G114" i="1"/>
  <c r="K113" i="1"/>
  <c r="J113" i="1"/>
  <c r="I113" i="1"/>
  <c r="H113" i="1"/>
  <c r="G113" i="1"/>
  <c r="K112" i="1"/>
  <c r="J112" i="1"/>
  <c r="I112" i="1"/>
  <c r="H112" i="1"/>
  <c r="G112" i="1"/>
  <c r="K111" i="1"/>
  <c r="J111" i="1"/>
  <c r="I111" i="1"/>
  <c r="H111" i="1"/>
  <c r="G111" i="1"/>
  <c r="K110" i="1"/>
  <c r="J110" i="1"/>
  <c r="I110" i="1"/>
  <c r="H110" i="1"/>
  <c r="G110" i="1"/>
  <c r="K109" i="1"/>
  <c r="J109" i="1"/>
  <c r="I109" i="1"/>
  <c r="H109" i="1"/>
  <c r="G109" i="1"/>
  <c r="K108" i="1"/>
  <c r="J108" i="1"/>
  <c r="I108" i="1"/>
  <c r="H108" i="1"/>
  <c r="G108" i="1"/>
  <c r="K107" i="1"/>
  <c r="J107" i="1"/>
  <c r="I107" i="1"/>
  <c r="H107" i="1"/>
  <c r="G107" i="1"/>
  <c r="K106" i="1"/>
  <c r="J106" i="1"/>
  <c r="I106" i="1"/>
  <c r="H106" i="1"/>
  <c r="G106" i="1"/>
  <c r="K105" i="1"/>
  <c r="J105" i="1"/>
  <c r="I105" i="1"/>
  <c r="H105" i="1"/>
  <c r="G105" i="1"/>
  <c r="K104" i="1"/>
  <c r="J104" i="1"/>
  <c r="I104" i="1"/>
  <c r="H104" i="1"/>
  <c r="G104" i="1"/>
  <c r="K103" i="1"/>
  <c r="J103" i="1"/>
  <c r="I103" i="1"/>
  <c r="H103" i="1"/>
  <c r="G103" i="1"/>
  <c r="K102" i="1"/>
  <c r="J102" i="1"/>
  <c r="I102" i="1"/>
  <c r="H102" i="1"/>
  <c r="G102" i="1"/>
  <c r="K101" i="1"/>
  <c r="J101" i="1"/>
  <c r="I101" i="1"/>
  <c r="H101" i="1"/>
  <c r="G101" i="1"/>
  <c r="K100" i="1"/>
  <c r="J100" i="1"/>
  <c r="I100" i="1"/>
  <c r="H100" i="1"/>
  <c r="G100" i="1"/>
  <c r="K99" i="1"/>
  <c r="J99" i="1"/>
  <c r="I99" i="1"/>
  <c r="H99" i="1"/>
  <c r="G99" i="1"/>
  <c r="K98" i="1"/>
  <c r="J98" i="1"/>
  <c r="I98" i="1"/>
  <c r="H98" i="1"/>
  <c r="G98" i="1"/>
  <c r="K97" i="1"/>
  <c r="J97" i="1"/>
  <c r="I97" i="1"/>
  <c r="H97" i="1"/>
  <c r="G97" i="1"/>
  <c r="K96" i="1"/>
  <c r="J96" i="1"/>
  <c r="I96" i="1"/>
  <c r="H96" i="1"/>
  <c r="G96" i="1"/>
  <c r="K95" i="1"/>
  <c r="J95" i="1"/>
  <c r="I95" i="1"/>
  <c r="H95" i="1"/>
  <c r="G95" i="1"/>
  <c r="K94" i="1"/>
  <c r="J94" i="1"/>
  <c r="I94" i="1"/>
  <c r="H94" i="1"/>
  <c r="G94" i="1"/>
  <c r="K93" i="1"/>
  <c r="J93" i="1"/>
  <c r="I93" i="1"/>
  <c r="H93" i="1"/>
  <c r="G93" i="1"/>
  <c r="K92" i="1"/>
  <c r="J92" i="1"/>
  <c r="I92" i="1"/>
  <c r="H92" i="1"/>
  <c r="G92" i="1"/>
  <c r="K91" i="1"/>
  <c r="J91" i="1"/>
  <c r="I91" i="1"/>
  <c r="H91" i="1"/>
  <c r="G91" i="1"/>
  <c r="K90" i="1"/>
  <c r="J90" i="1"/>
  <c r="I90" i="1"/>
  <c r="H90" i="1"/>
  <c r="G90" i="1"/>
  <c r="K89" i="1"/>
  <c r="J89" i="1"/>
  <c r="I89" i="1"/>
  <c r="H89" i="1"/>
  <c r="G89" i="1"/>
  <c r="K88" i="1"/>
  <c r="J88" i="1"/>
  <c r="I88" i="1"/>
  <c r="H88" i="1"/>
  <c r="G88" i="1"/>
  <c r="K87" i="1"/>
  <c r="J87" i="1"/>
  <c r="I87" i="1"/>
  <c r="H87" i="1"/>
  <c r="G87" i="1"/>
  <c r="K86" i="1"/>
  <c r="J86" i="1"/>
  <c r="I86" i="1"/>
  <c r="H86" i="1"/>
  <c r="G86" i="1"/>
  <c r="K85" i="1"/>
  <c r="J85" i="1"/>
  <c r="I85" i="1"/>
  <c r="H85" i="1"/>
  <c r="G85" i="1"/>
  <c r="K84" i="1"/>
  <c r="J84" i="1"/>
  <c r="I84" i="1"/>
  <c r="H84" i="1"/>
  <c r="G84" i="1"/>
  <c r="K83" i="1"/>
  <c r="J83" i="1"/>
  <c r="I83" i="1"/>
  <c r="H83" i="1"/>
  <c r="G83" i="1"/>
  <c r="K82" i="1"/>
  <c r="J82" i="1"/>
  <c r="I82" i="1"/>
  <c r="H82" i="1"/>
  <c r="G82" i="1"/>
  <c r="K81" i="1"/>
  <c r="J81" i="1"/>
  <c r="I81" i="1"/>
  <c r="H81" i="1"/>
  <c r="G81" i="1"/>
  <c r="K80" i="1"/>
  <c r="J80" i="1"/>
  <c r="I80" i="1"/>
  <c r="H80" i="1"/>
  <c r="G80" i="1"/>
  <c r="K79" i="1"/>
  <c r="J79" i="1"/>
  <c r="I79" i="1"/>
  <c r="H79" i="1"/>
  <c r="G79" i="1"/>
  <c r="K78" i="1"/>
  <c r="J78" i="1"/>
  <c r="I78" i="1"/>
  <c r="H78" i="1"/>
  <c r="G78" i="1"/>
  <c r="K77" i="1"/>
  <c r="J77" i="1"/>
  <c r="I77" i="1"/>
  <c r="H77" i="1"/>
  <c r="G77" i="1"/>
  <c r="K76" i="1"/>
  <c r="J76" i="1"/>
  <c r="I76" i="1"/>
  <c r="H76" i="1"/>
  <c r="G76" i="1"/>
  <c r="K75" i="1"/>
  <c r="J75" i="1"/>
  <c r="I75" i="1"/>
  <c r="H75" i="1"/>
  <c r="G75" i="1"/>
  <c r="K74" i="1"/>
  <c r="J74" i="1"/>
  <c r="I74" i="1"/>
  <c r="H74" i="1"/>
  <c r="G74" i="1"/>
  <c r="K73" i="1"/>
  <c r="J73" i="1"/>
  <c r="I73" i="1"/>
  <c r="H73" i="1"/>
  <c r="G73" i="1"/>
  <c r="K72" i="1"/>
  <c r="J72" i="1"/>
  <c r="I72" i="1"/>
  <c r="H72" i="1"/>
  <c r="G72" i="1"/>
  <c r="K71" i="1"/>
  <c r="J71" i="1"/>
  <c r="I71" i="1"/>
  <c r="H71" i="1"/>
  <c r="G71" i="1"/>
  <c r="K70" i="1"/>
  <c r="J70" i="1"/>
  <c r="I70" i="1"/>
  <c r="H70" i="1"/>
  <c r="G70" i="1"/>
  <c r="K69" i="1"/>
  <c r="J69" i="1"/>
  <c r="I69" i="1"/>
  <c r="H69" i="1"/>
  <c r="G69" i="1"/>
  <c r="K68" i="1"/>
  <c r="J68" i="1"/>
  <c r="I68" i="1"/>
  <c r="H68" i="1"/>
  <c r="G68" i="1"/>
  <c r="K67" i="1"/>
  <c r="J67" i="1"/>
  <c r="I67" i="1"/>
  <c r="H67" i="1"/>
  <c r="G67" i="1"/>
  <c r="K66" i="1"/>
  <c r="J66" i="1"/>
  <c r="I66" i="1"/>
  <c r="H66" i="1"/>
  <c r="G66" i="1"/>
  <c r="K65" i="1"/>
  <c r="J65" i="1"/>
  <c r="I65" i="1"/>
  <c r="H65" i="1"/>
  <c r="G65" i="1"/>
  <c r="K64" i="1"/>
  <c r="J64" i="1"/>
  <c r="I64" i="1"/>
  <c r="H64" i="1"/>
  <c r="G64" i="1"/>
  <c r="K63" i="1"/>
  <c r="J63" i="1"/>
  <c r="I63" i="1"/>
  <c r="H63" i="1"/>
  <c r="G63" i="1"/>
  <c r="K62" i="1"/>
  <c r="J62" i="1"/>
  <c r="I62" i="1"/>
  <c r="H62" i="1"/>
  <c r="G62" i="1"/>
  <c r="K61" i="1"/>
  <c r="J61" i="1"/>
  <c r="I61" i="1"/>
  <c r="H61" i="1"/>
  <c r="G61" i="1"/>
  <c r="K60" i="1"/>
  <c r="J60" i="1"/>
  <c r="I60" i="1"/>
  <c r="H60" i="1"/>
  <c r="G60" i="1"/>
  <c r="K59" i="1"/>
  <c r="J59" i="1"/>
  <c r="I59" i="1"/>
  <c r="H59" i="1"/>
  <c r="G59" i="1"/>
  <c r="K58" i="1"/>
  <c r="J58" i="1"/>
  <c r="I58" i="1"/>
  <c r="H58" i="1"/>
  <c r="G58" i="1"/>
  <c r="K57" i="1"/>
  <c r="J57" i="1"/>
  <c r="I57" i="1"/>
  <c r="H57" i="1"/>
  <c r="G57" i="1"/>
  <c r="K56" i="1"/>
  <c r="J56" i="1"/>
  <c r="I56" i="1"/>
  <c r="H56" i="1"/>
  <c r="G56" i="1"/>
  <c r="K55" i="1"/>
  <c r="J55" i="1"/>
  <c r="I55" i="1"/>
  <c r="H55" i="1"/>
  <c r="G55" i="1"/>
  <c r="K54" i="1"/>
  <c r="J54" i="1"/>
  <c r="I54" i="1"/>
  <c r="H54" i="1"/>
  <c r="G54" i="1"/>
  <c r="K53" i="1"/>
  <c r="J53" i="1"/>
  <c r="I53" i="1"/>
  <c r="H53" i="1"/>
  <c r="G53" i="1"/>
  <c r="K52" i="1"/>
  <c r="J52" i="1"/>
  <c r="I52" i="1"/>
  <c r="H52" i="1"/>
  <c r="G52" i="1"/>
  <c r="K51" i="1"/>
  <c r="J51" i="1"/>
  <c r="I51" i="1"/>
  <c r="H51" i="1"/>
  <c r="G51" i="1"/>
  <c r="K50" i="1"/>
  <c r="J50" i="1"/>
  <c r="I50" i="1"/>
  <c r="H50" i="1"/>
  <c r="G50" i="1"/>
  <c r="K49" i="1"/>
  <c r="J49" i="1"/>
  <c r="I49" i="1"/>
  <c r="H49" i="1"/>
  <c r="G49" i="1"/>
  <c r="K48" i="1"/>
  <c r="J48" i="1"/>
  <c r="I48" i="1"/>
  <c r="H48" i="1"/>
  <c r="G48" i="1"/>
  <c r="K47" i="1"/>
  <c r="J47" i="1"/>
  <c r="I47" i="1"/>
  <c r="H47" i="1"/>
  <c r="G47" i="1"/>
  <c r="K46" i="1"/>
  <c r="J46" i="1"/>
  <c r="I46" i="1"/>
  <c r="H46" i="1"/>
  <c r="G46" i="1"/>
  <c r="K45" i="1"/>
  <c r="J45" i="1"/>
  <c r="I45" i="1"/>
  <c r="H45" i="1"/>
  <c r="G45" i="1"/>
  <c r="K44" i="1"/>
  <c r="J44" i="1"/>
  <c r="I44" i="1"/>
  <c r="H44" i="1"/>
  <c r="G44" i="1"/>
  <c r="K43" i="1"/>
  <c r="J43" i="1"/>
  <c r="I43" i="1"/>
  <c r="H43" i="1"/>
  <c r="G43" i="1"/>
  <c r="K42" i="1"/>
  <c r="J42" i="1"/>
  <c r="I42" i="1"/>
  <c r="H42" i="1"/>
  <c r="G42" i="1"/>
  <c r="K41" i="1"/>
  <c r="J41" i="1"/>
  <c r="I41" i="1"/>
  <c r="H41" i="1"/>
  <c r="G41" i="1"/>
  <c r="K40" i="1"/>
  <c r="J40" i="1"/>
  <c r="I40" i="1"/>
  <c r="H40" i="1"/>
  <c r="G40" i="1"/>
  <c r="K39" i="1"/>
  <c r="J39" i="1"/>
  <c r="I39" i="1"/>
  <c r="H39" i="1"/>
  <c r="G39" i="1"/>
  <c r="K38" i="1"/>
  <c r="J38" i="1"/>
  <c r="I38" i="1"/>
  <c r="H38" i="1"/>
  <c r="G38" i="1"/>
  <c r="K37" i="1"/>
  <c r="J37" i="1"/>
  <c r="I37" i="1"/>
  <c r="H37" i="1"/>
  <c r="G37" i="1"/>
  <c r="K36" i="1"/>
  <c r="J36" i="1"/>
  <c r="I36" i="1"/>
  <c r="H36" i="1"/>
  <c r="G36" i="1"/>
  <c r="K35" i="1"/>
  <c r="J35" i="1"/>
  <c r="I35" i="1"/>
  <c r="H35" i="1"/>
  <c r="G35" i="1"/>
  <c r="K34" i="1"/>
  <c r="J34" i="1"/>
  <c r="I34" i="1"/>
  <c r="H34" i="1"/>
  <c r="G34" i="1"/>
  <c r="K33" i="1"/>
  <c r="J33" i="1"/>
  <c r="I33" i="1"/>
  <c r="H33" i="1"/>
  <c r="G33" i="1"/>
  <c r="K32" i="1"/>
  <c r="J32" i="1"/>
  <c r="I32" i="1"/>
  <c r="H32" i="1"/>
  <c r="G32" i="1"/>
  <c r="K31" i="1"/>
  <c r="J31" i="1"/>
  <c r="I31" i="1"/>
  <c r="H31" i="1"/>
  <c r="G31" i="1"/>
  <c r="K30" i="1"/>
  <c r="J30" i="1"/>
  <c r="I30" i="1"/>
  <c r="H30" i="1"/>
  <c r="G30" i="1"/>
  <c r="K29" i="1"/>
  <c r="J29" i="1"/>
  <c r="I29" i="1"/>
  <c r="H29" i="1"/>
  <c r="G29" i="1"/>
  <c r="K28" i="1"/>
  <c r="J28" i="1"/>
  <c r="I28" i="1"/>
  <c r="H28" i="1"/>
  <c r="G28" i="1"/>
  <c r="K27" i="1"/>
  <c r="J27" i="1"/>
  <c r="I27" i="1"/>
  <c r="H27" i="1"/>
  <c r="G27" i="1"/>
  <c r="K26" i="1"/>
  <c r="J26" i="1"/>
  <c r="I26" i="1"/>
  <c r="H26" i="1"/>
  <c r="G26" i="1"/>
  <c r="K25" i="1"/>
  <c r="J25" i="1"/>
  <c r="I25" i="1"/>
  <c r="H25" i="1"/>
  <c r="G25" i="1"/>
  <c r="K24" i="1"/>
  <c r="J24" i="1"/>
  <c r="I24" i="1"/>
  <c r="H24" i="1"/>
  <c r="G24" i="1"/>
  <c r="K23" i="1"/>
  <c r="J23" i="1"/>
  <c r="I23" i="1"/>
  <c r="H23" i="1"/>
  <c r="G23" i="1"/>
  <c r="O22" i="1"/>
  <c r="K22" i="1"/>
  <c r="J22" i="1"/>
  <c r="I22" i="1"/>
  <c r="H22" i="1"/>
  <c r="G22" i="1"/>
  <c r="O21" i="1"/>
  <c r="K21" i="1"/>
  <c r="J21" i="1"/>
  <c r="I21" i="1"/>
  <c r="H21" i="1"/>
  <c r="G21" i="1"/>
  <c r="O20" i="1"/>
  <c r="K20" i="1"/>
  <c r="J20" i="1"/>
  <c r="I20" i="1"/>
  <c r="H20" i="1"/>
  <c r="G20" i="1"/>
  <c r="O19" i="1"/>
  <c r="K19" i="1"/>
  <c r="J19" i="1"/>
  <c r="I19" i="1"/>
  <c r="H19" i="1"/>
  <c r="G19" i="1"/>
  <c r="O18" i="1"/>
  <c r="K18" i="1"/>
  <c r="J18" i="1"/>
  <c r="I18" i="1"/>
  <c r="H18" i="1"/>
  <c r="G18" i="1"/>
  <c r="O17" i="1"/>
  <c r="K17" i="1"/>
  <c r="J17" i="1"/>
  <c r="I17" i="1"/>
  <c r="H17" i="1"/>
  <c r="G17" i="1"/>
  <c r="K16" i="1"/>
  <c r="J16" i="1"/>
  <c r="I16" i="1"/>
  <c r="H16" i="1"/>
  <c r="G16" i="1"/>
  <c r="K15" i="1"/>
  <c r="J15" i="1"/>
  <c r="I15" i="1"/>
  <c r="H15" i="1"/>
  <c r="G15" i="1"/>
  <c r="O14" i="1"/>
  <c r="K14" i="1"/>
  <c r="J14" i="1"/>
  <c r="I14" i="1"/>
  <c r="H14" i="1"/>
  <c r="G14" i="1"/>
  <c r="O13" i="1"/>
  <c r="K13" i="1"/>
  <c r="J13" i="1"/>
  <c r="I13" i="1"/>
  <c r="H13" i="1"/>
  <c r="G13" i="1"/>
  <c r="O12" i="1"/>
  <c r="K12" i="1"/>
  <c r="J12" i="1"/>
  <c r="I12" i="1"/>
  <c r="H12" i="1"/>
  <c r="G12" i="1"/>
  <c r="O11" i="1"/>
  <c r="K11" i="1"/>
  <c r="J11" i="1"/>
  <c r="I11" i="1"/>
  <c r="H11" i="1"/>
  <c r="G11" i="1"/>
  <c r="O10" i="1"/>
  <c r="K10" i="1"/>
  <c r="J10" i="1"/>
  <c r="I10" i="1"/>
  <c r="H10" i="1"/>
  <c r="G10" i="1"/>
  <c r="K9" i="1"/>
  <c r="J9" i="1"/>
  <c r="I9" i="1"/>
  <c r="H9" i="1"/>
  <c r="G9" i="1"/>
  <c r="K8" i="1"/>
  <c r="J8" i="1"/>
  <c r="I8" i="1"/>
  <c r="H8" i="1"/>
  <c r="G8" i="1"/>
  <c r="K7" i="1"/>
  <c r="J7" i="1"/>
  <c r="I7" i="1"/>
  <c r="H7" i="1"/>
  <c r="G7" i="1"/>
  <c r="O6" i="1"/>
  <c r="K6" i="1"/>
  <c r="J6" i="1"/>
  <c r="I6" i="1"/>
  <c r="H6" i="1"/>
  <c r="G6" i="1"/>
  <c r="O5" i="1"/>
  <c r="K5" i="1"/>
  <c r="J5" i="1"/>
  <c r="I5" i="1"/>
  <c r="H5" i="1"/>
  <c r="G5" i="1"/>
  <c r="O4" i="1"/>
  <c r="K4" i="1"/>
  <c r="J4" i="1"/>
  <c r="I4" i="1"/>
  <c r="H4" i="1"/>
  <c r="G4" i="1"/>
  <c r="K3" i="1"/>
  <c r="J3" i="1"/>
  <c r="I3" i="1"/>
  <c r="H3" i="1"/>
  <c r="G3" i="1"/>
  <c r="K2" i="1"/>
  <c r="J2" i="1"/>
  <c r="I2" i="1"/>
  <c r="H2"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7835A9-2D24-4A1A-BBD7-EF086B7C4A6D}"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09FB457-8346-4BE7-891C-B940AE86FA4F}" name="WorksheetConnection_Ecommerce_Analytics_Practice_Dataset.xlsx!Table1" type="102" refreshedVersion="7" minRefreshableVersion="5" refreshOnLoad="1" saveData="1">
    <extLst>
      <ext xmlns:x15="http://schemas.microsoft.com/office/spreadsheetml/2010/11/main" uri="{DE250136-89BD-433C-8126-D09CA5730AF9}">
        <x15:connection id="Table1" autoDelete="1">
          <x15:rangePr sourceName="_xlcn.WorksheetConnection_Ecommerce_Analytics_Practice_Dataset.xlsxTable1"/>
        </x15:connection>
      </ext>
    </extLst>
  </connection>
  <connection id="3" xr16:uid="{466E680A-99F5-445C-BF3A-CDEFBEC6A5FD}" name="WorksheetConnection_Ecommerce_Analytics_Practice_Dataset.xlsx!Table2" type="102" refreshedVersion="7" minRefreshableVersion="5">
    <extLst>
      <ext xmlns:x15="http://schemas.microsoft.com/office/spreadsheetml/2010/11/main" uri="{DE250136-89BD-433C-8126-D09CA5730AF9}">
        <x15:connection id="Table2">
          <x15:rangePr sourceName="_xlcn.WorksheetConnection_Ecommerce_Analytics_Practice_Dataset.xlsxTable2"/>
        </x15:connection>
      </ext>
    </extLst>
  </connection>
  <connection id="4" xr16:uid="{F74ABEDC-41CB-4FF8-B0D6-E1F43EB989E4}" name="WorksheetConnection_Ecommerce_Analytics_Practice_Dataset.xlsx!Table3" type="102" refreshedVersion="7" minRefreshableVersion="5">
    <extLst>
      <ext xmlns:x15="http://schemas.microsoft.com/office/spreadsheetml/2010/11/main" uri="{DE250136-89BD-433C-8126-D09CA5730AF9}">
        <x15:connection id="Table3">
          <x15:rangePr sourceName="_xlcn.WorksheetConnection_Ecommerce_Analytics_Practice_Dataset.xlsxTable3"/>
        </x15:connection>
      </ext>
    </extLst>
  </connection>
  <connection id="5" xr16:uid="{80BC87F9-DBD0-468A-B8AE-6D606615CE5C}" name="WorksheetConnection_Ecommerce_Analytics_Practice_Dataset.xlsx!Table8" type="102" refreshedVersion="7" minRefreshableVersion="5">
    <extLst>
      <ext xmlns:x15="http://schemas.microsoft.com/office/spreadsheetml/2010/11/main" uri="{DE250136-89BD-433C-8126-D09CA5730AF9}">
        <x15:connection id="Table8">
          <x15:rangePr sourceName="_xlcn.WorksheetConnection_Ecommerce_Analytics_Practice_Dataset.xlsxTable8"/>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SalesAmount].[All]}"/>
  </metadataStrings>
  <mdxMetadata count="1">
    <mdx n="0" f="s">
      <ms ns="1" c="0"/>
    </mdx>
  </mdxMetadata>
  <valueMetadata count="1">
    <bk>
      <rc t="1" v="0"/>
    </bk>
  </valueMetadata>
</metadata>
</file>

<file path=xl/sharedStrings.xml><?xml version="1.0" encoding="utf-8"?>
<sst xmlns="http://schemas.openxmlformats.org/spreadsheetml/2006/main" count="1769" uniqueCount="848">
  <si>
    <t>OrderID</t>
  </si>
  <si>
    <t>OrderDate</t>
  </si>
  <si>
    <t>CustomerID</t>
  </si>
  <si>
    <t>ProductID</t>
  </si>
  <si>
    <t>Quantity</t>
  </si>
  <si>
    <t>SalesAmount</t>
  </si>
  <si>
    <t>ORD0001</t>
  </si>
  <si>
    <t>CUST115</t>
  </si>
  <si>
    <t>PROD020</t>
  </si>
  <si>
    <t>ORD0002</t>
  </si>
  <si>
    <t>CUST077</t>
  </si>
  <si>
    <t>PROD032</t>
  </si>
  <si>
    <t>ORD0003</t>
  </si>
  <si>
    <t>CUST091</t>
  </si>
  <si>
    <t>PROD017</t>
  </si>
  <si>
    <t>ORD0004</t>
  </si>
  <si>
    <t>CUST097</t>
  </si>
  <si>
    <t>PROD006</t>
  </si>
  <si>
    <t>ORD0005</t>
  </si>
  <si>
    <t>CUST018</t>
  </si>
  <si>
    <t>PROD039</t>
  </si>
  <si>
    <t>ORD0006</t>
  </si>
  <si>
    <t>CUST038</t>
  </si>
  <si>
    <t>PROD007</t>
  </si>
  <si>
    <t>ORD0007</t>
  </si>
  <si>
    <t>CUST060</t>
  </si>
  <si>
    <t>PROD027</t>
  </si>
  <si>
    <t>ORD0008</t>
  </si>
  <si>
    <t>PROD024</t>
  </si>
  <si>
    <t>ORD0009</t>
  </si>
  <si>
    <t>CUST006</t>
  </si>
  <si>
    <t>ORD0010</t>
  </si>
  <si>
    <t>CUST021</t>
  </si>
  <si>
    <t>ORD0011</t>
  </si>
  <si>
    <t>CUST041</t>
  </si>
  <si>
    <t>PROD005</t>
  </si>
  <si>
    <t>ORD0012</t>
  </si>
  <si>
    <t>CUST110</t>
  </si>
  <si>
    <t>PROD028</t>
  </si>
  <si>
    <t>ORD0013</t>
  </si>
  <si>
    <t>CUST025</t>
  </si>
  <si>
    <t>PROD033</t>
  </si>
  <si>
    <t>ORD0014</t>
  </si>
  <si>
    <t>CUST053</t>
  </si>
  <si>
    <t>PROD015</t>
  </si>
  <si>
    <t>ORD0015</t>
  </si>
  <si>
    <t>CUST043</t>
  </si>
  <si>
    <t>ORD0016</t>
  </si>
  <si>
    <t>CUST049</t>
  </si>
  <si>
    <t>PROD031</t>
  </si>
  <si>
    <t>ORD0017</t>
  </si>
  <si>
    <t>CUST080</t>
  </si>
  <si>
    <t>PROD029</t>
  </si>
  <si>
    <t>ORD0018</t>
  </si>
  <si>
    <t>CUST071</t>
  </si>
  <si>
    <t>PROD040</t>
  </si>
  <si>
    <t>ORD0019</t>
  </si>
  <si>
    <t>CUST083</t>
  </si>
  <si>
    <t>ORD0020</t>
  </si>
  <si>
    <t>ORD0021</t>
  </si>
  <si>
    <t>PROD022</t>
  </si>
  <si>
    <t>ORD0022</t>
  </si>
  <si>
    <t>CUST102</t>
  </si>
  <si>
    <t>PROD019</t>
  </si>
  <si>
    <t>ORD0023</t>
  </si>
  <si>
    <t>CUST061</t>
  </si>
  <si>
    <t>ORD0024</t>
  </si>
  <si>
    <t>CUST104</t>
  </si>
  <si>
    <t>PROD013</t>
  </si>
  <si>
    <t>ORD0025</t>
  </si>
  <si>
    <t>CUST027</t>
  </si>
  <si>
    <t>ORD0026</t>
  </si>
  <si>
    <t>PROD016</t>
  </si>
  <si>
    <t>ORD0027</t>
  </si>
  <si>
    <t>CUST001</t>
  </si>
  <si>
    <t>ORD0028</t>
  </si>
  <si>
    <t>CUST056</t>
  </si>
  <si>
    <t>ORD0029</t>
  </si>
  <si>
    <t>CUST034</t>
  </si>
  <si>
    <t>ORD0030</t>
  </si>
  <si>
    <t>CUST098</t>
  </si>
  <si>
    <t>PROD010</t>
  </si>
  <si>
    <t>ORD0031</t>
  </si>
  <si>
    <t>CUST082</t>
  </si>
  <si>
    <t>ORD0032</t>
  </si>
  <si>
    <t>CUST089</t>
  </si>
  <si>
    <t>ORD0033</t>
  </si>
  <si>
    <t>CUST031</t>
  </si>
  <si>
    <t>ORD0034</t>
  </si>
  <si>
    <t>CUST002</t>
  </si>
  <si>
    <t>ORD0035</t>
  </si>
  <si>
    <t>CUST092</t>
  </si>
  <si>
    <t>ORD0036</t>
  </si>
  <si>
    <t>CUST073</t>
  </si>
  <si>
    <t>ORD0037</t>
  </si>
  <si>
    <t>CUST099</t>
  </si>
  <si>
    <t>ORD0038</t>
  </si>
  <si>
    <t>CUST014</t>
  </si>
  <si>
    <t>PROD014</t>
  </si>
  <si>
    <t>ORD0039</t>
  </si>
  <si>
    <t>ORD0040</t>
  </si>
  <si>
    <t>CUST081</t>
  </si>
  <si>
    <t>ORD0041</t>
  </si>
  <si>
    <t>PROD026</t>
  </si>
  <si>
    <t>ORD0042</t>
  </si>
  <si>
    <t>CUST100</t>
  </si>
  <si>
    <t>ORD0043</t>
  </si>
  <si>
    <t>CUST086</t>
  </si>
  <si>
    <t>PROD036</t>
  </si>
  <si>
    <t>ORD0044</t>
  </si>
  <si>
    <t>ORD0045</t>
  </si>
  <si>
    <t>CUST059</t>
  </si>
  <si>
    <t>ORD0046</t>
  </si>
  <si>
    <t>CUST050</t>
  </si>
  <si>
    <t>PROD018</t>
  </si>
  <si>
    <t>ORD0047</t>
  </si>
  <si>
    <t>CUST116</t>
  </si>
  <si>
    <t>ORD0048</t>
  </si>
  <si>
    <t>ORD0049</t>
  </si>
  <si>
    <t>ORD0050</t>
  </si>
  <si>
    <t>CUST096</t>
  </si>
  <si>
    <t>ORD0051</t>
  </si>
  <si>
    <t>PROD035</t>
  </si>
  <si>
    <t>ORD0052</t>
  </si>
  <si>
    <t>PROD012</t>
  </si>
  <si>
    <t>ORD0053</t>
  </si>
  <si>
    <t>CUST042</t>
  </si>
  <si>
    <t>ORD0054</t>
  </si>
  <si>
    <t>CUST085</t>
  </si>
  <si>
    <t>PROD030</t>
  </si>
  <si>
    <t>ORD0055</t>
  </si>
  <si>
    <t>CUST084</t>
  </si>
  <si>
    <t>PROD003</t>
  </si>
  <si>
    <t>ORD0056</t>
  </si>
  <si>
    <t>ORD0057</t>
  </si>
  <si>
    <t>CUST005</t>
  </si>
  <si>
    <t>PROD001</t>
  </si>
  <si>
    <t>ORD0058</t>
  </si>
  <si>
    <t>ORD0059</t>
  </si>
  <si>
    <t>CUST030</t>
  </si>
  <si>
    <t>ORD0060</t>
  </si>
  <si>
    <t>CUST101</t>
  </si>
  <si>
    <t>ORD0061</t>
  </si>
  <si>
    <t>CUST075</t>
  </si>
  <si>
    <t>ORD0062</t>
  </si>
  <si>
    <t>CUST066</t>
  </si>
  <si>
    <t>PROD008</t>
  </si>
  <si>
    <t>ORD0063</t>
  </si>
  <si>
    <t>PROD011</t>
  </si>
  <si>
    <t>ORD0064</t>
  </si>
  <si>
    <t>CUST012</t>
  </si>
  <si>
    <t>ORD0065</t>
  </si>
  <si>
    <t>PROD038</t>
  </si>
  <si>
    <t>ORD0066</t>
  </si>
  <si>
    <t>ORD0067</t>
  </si>
  <si>
    <t>ORD0068</t>
  </si>
  <si>
    <t>ORD0069</t>
  </si>
  <si>
    <t>ORD0070</t>
  </si>
  <si>
    <t>ORD0071</t>
  </si>
  <si>
    <t>CUST079</t>
  </si>
  <si>
    <t>PROD037</t>
  </si>
  <si>
    <t>ORD0072</t>
  </si>
  <si>
    <t>ORD0073</t>
  </si>
  <si>
    <t>ORD0074</t>
  </si>
  <si>
    <t>ORD0075</t>
  </si>
  <si>
    <t>PROD002</t>
  </si>
  <si>
    <t>ORD0076</t>
  </si>
  <si>
    <t>CUST113</t>
  </si>
  <si>
    <t>ORD0077</t>
  </si>
  <si>
    <t>ORD0078</t>
  </si>
  <si>
    <t>CUST003</t>
  </si>
  <si>
    <t>ORD0079</t>
  </si>
  <si>
    <t>CUST111</t>
  </si>
  <si>
    <t>ORD0080</t>
  </si>
  <si>
    <t>CUST062</t>
  </si>
  <si>
    <t>ORD0081</t>
  </si>
  <si>
    <t>CUST035</t>
  </si>
  <si>
    <t>ORD0082</t>
  </si>
  <si>
    <t>PROD009</t>
  </si>
  <si>
    <t>ORD0083</t>
  </si>
  <si>
    <t>CUST107</t>
  </si>
  <si>
    <t>ORD0084</t>
  </si>
  <si>
    <t>CUST088</t>
  </si>
  <si>
    <t>ORD0085</t>
  </si>
  <si>
    <t>ORD0086</t>
  </si>
  <si>
    <t>CUST087</t>
  </si>
  <si>
    <t>ORD0087</t>
  </si>
  <si>
    <t>ORD0088</t>
  </si>
  <si>
    <t>CUST094</t>
  </si>
  <si>
    <t>ORD0089</t>
  </si>
  <si>
    <t>ORD0090</t>
  </si>
  <si>
    <t>ORD0091</t>
  </si>
  <si>
    <t>ORD0092</t>
  </si>
  <si>
    <t>ORD0093</t>
  </si>
  <si>
    <t>ORD0094</t>
  </si>
  <si>
    <t>CUST032</t>
  </si>
  <si>
    <t>PROD023</t>
  </si>
  <si>
    <t>ORD0095</t>
  </si>
  <si>
    <t>CUST069</t>
  </si>
  <si>
    <t>ORD0096</t>
  </si>
  <si>
    <t>ORD0097</t>
  </si>
  <si>
    <t>ORD0098</t>
  </si>
  <si>
    <t>CUST048</t>
  </si>
  <si>
    <t>ORD0099</t>
  </si>
  <si>
    <t>ORD0100</t>
  </si>
  <si>
    <t>ORD0101</t>
  </si>
  <si>
    <t>CUST010</t>
  </si>
  <si>
    <t>ORD0102</t>
  </si>
  <si>
    <t>ORD0103</t>
  </si>
  <si>
    <t>CUST063</t>
  </si>
  <si>
    <t>ORD0104</t>
  </si>
  <si>
    <t>CUST036</t>
  </si>
  <si>
    <t>ORD0105</t>
  </si>
  <si>
    <t>ORD0106</t>
  </si>
  <si>
    <t>CUST046</t>
  </si>
  <si>
    <t>ORD0107</t>
  </si>
  <si>
    <t>ORD0108</t>
  </si>
  <si>
    <t>ORD0109</t>
  </si>
  <si>
    <t>CUST064</t>
  </si>
  <si>
    <t>ORD0110</t>
  </si>
  <si>
    <t>ORD0111</t>
  </si>
  <si>
    <t>ORD0112</t>
  </si>
  <si>
    <t>CUST106</t>
  </si>
  <si>
    <t>ORD0113</t>
  </si>
  <si>
    <t>ORD0114</t>
  </si>
  <si>
    <t>PROD021</t>
  </si>
  <si>
    <t>ORD0115</t>
  </si>
  <si>
    <t>ORD0116</t>
  </si>
  <si>
    <t>ORD0117</t>
  </si>
  <si>
    <t>CUST009</t>
  </si>
  <si>
    <t>ORD0118</t>
  </si>
  <si>
    <t>PROD034</t>
  </si>
  <si>
    <t>ORD0119</t>
  </si>
  <si>
    <t>CUST119</t>
  </si>
  <si>
    <t>ORD0120</t>
  </si>
  <si>
    <t>CUST047</t>
  </si>
  <si>
    <t>ORD0121</t>
  </si>
  <si>
    <t>ORD0122</t>
  </si>
  <si>
    <t>CUST105</t>
  </si>
  <si>
    <t>ORD0123</t>
  </si>
  <si>
    <t>ORD0124</t>
  </si>
  <si>
    <t>CUST015</t>
  </si>
  <si>
    <t>ORD0125</t>
  </si>
  <si>
    <t>CUST029</t>
  </si>
  <si>
    <t>ORD0126</t>
  </si>
  <si>
    <t>CUST008</t>
  </si>
  <si>
    <t>ORD0127</t>
  </si>
  <si>
    <t>CUST114</t>
  </si>
  <si>
    <t>ORD0128</t>
  </si>
  <si>
    <t>CUST026</t>
  </si>
  <si>
    <t>ORD0129</t>
  </si>
  <si>
    <t>ORD0130</t>
  </si>
  <si>
    <t>ORD0131</t>
  </si>
  <si>
    <t>ORD0132</t>
  </si>
  <si>
    <t>ORD0133</t>
  </si>
  <si>
    <t>CUST058</t>
  </si>
  <si>
    <t>ORD0134</t>
  </si>
  <si>
    <t>ORD0135</t>
  </si>
  <si>
    <t>CUST045</t>
  </si>
  <si>
    <t>ORD0136</t>
  </si>
  <si>
    <t>PROD025</t>
  </si>
  <si>
    <t>ORD0137</t>
  </si>
  <si>
    <t>ORD0138</t>
  </si>
  <si>
    <t>ORD0139</t>
  </si>
  <si>
    <t>CUST067</t>
  </si>
  <si>
    <t>ORD0140</t>
  </si>
  <si>
    <t>ORD0141</t>
  </si>
  <si>
    <t>ORD0142</t>
  </si>
  <si>
    <t>ORD0143</t>
  </si>
  <si>
    <t>CUST020</t>
  </si>
  <si>
    <t>ORD0144</t>
  </si>
  <si>
    <t>ORD0145</t>
  </si>
  <si>
    <t>ORD0146</t>
  </si>
  <si>
    <t>ORD0147</t>
  </si>
  <si>
    <t>ORD0148</t>
  </si>
  <si>
    <t>ORD0149</t>
  </si>
  <si>
    <t>ORD0150</t>
  </si>
  <si>
    <t>ORD0151</t>
  </si>
  <si>
    <t>CUST076</t>
  </si>
  <si>
    <t>ORD0152</t>
  </si>
  <si>
    <t>CUST011</t>
  </si>
  <si>
    <t>ORD0153</t>
  </si>
  <si>
    <t>ORD0154</t>
  </si>
  <si>
    <t>CUST019</t>
  </si>
  <si>
    <t>ORD0155</t>
  </si>
  <si>
    <t>ORD0156</t>
  </si>
  <si>
    <t>ORD0157</t>
  </si>
  <si>
    <t>ORD0158</t>
  </si>
  <si>
    <t>ORD0159</t>
  </si>
  <si>
    <t>CUST072</t>
  </si>
  <si>
    <t>ORD0160</t>
  </si>
  <si>
    <t>ORD0161</t>
  </si>
  <si>
    <t>ORD0162</t>
  </si>
  <si>
    <t>ORD0163</t>
  </si>
  <si>
    <t>ORD0164</t>
  </si>
  <si>
    <t>CUST016</t>
  </si>
  <si>
    <t>ORD0165</t>
  </si>
  <si>
    <t>CUST112</t>
  </si>
  <si>
    <t>ORD0166</t>
  </si>
  <si>
    <t>CUST120</t>
  </si>
  <si>
    <t>ORD0167</t>
  </si>
  <si>
    <t>ORD0168</t>
  </si>
  <si>
    <t>CUST103</t>
  </si>
  <si>
    <t>ORD0169</t>
  </si>
  <si>
    <t>PROD004</t>
  </si>
  <si>
    <t>ORD0170</t>
  </si>
  <si>
    <t>ORD0171</t>
  </si>
  <si>
    <t>CUST074</t>
  </si>
  <si>
    <t>ORD0172</t>
  </si>
  <si>
    <t>ORD0173</t>
  </si>
  <si>
    <t>CUST023</t>
  </si>
  <si>
    <t>ORD0174</t>
  </si>
  <si>
    <t>CUST051</t>
  </si>
  <si>
    <t>ORD0175</t>
  </si>
  <si>
    <t>ORD0176</t>
  </si>
  <si>
    <t>CUST093</t>
  </si>
  <si>
    <t>ORD0177</t>
  </si>
  <si>
    <t>ORD0178</t>
  </si>
  <si>
    <t>CUST118</t>
  </si>
  <si>
    <t>ORD0179</t>
  </si>
  <si>
    <t>ORD0180</t>
  </si>
  <si>
    <t>ORD0181</t>
  </si>
  <si>
    <t>ORD0182</t>
  </si>
  <si>
    <t>CUST022</t>
  </si>
  <si>
    <t>ORD0183</t>
  </si>
  <si>
    <t>ORD0184</t>
  </si>
  <si>
    <t>ORD0185</t>
  </si>
  <si>
    <t>ORD0186</t>
  </si>
  <si>
    <t>ORD0187</t>
  </si>
  <si>
    <t>ORD0188</t>
  </si>
  <si>
    <t>ORD0189</t>
  </si>
  <si>
    <t>ORD0190</t>
  </si>
  <si>
    <t>ORD0191</t>
  </si>
  <si>
    <t>ORD0192</t>
  </si>
  <si>
    <t>CUST068</t>
  </si>
  <si>
    <t>ORD0193</t>
  </si>
  <si>
    <t>ORD0194</t>
  </si>
  <si>
    <t>ORD0195</t>
  </si>
  <si>
    <t>ORD0196</t>
  </si>
  <si>
    <t>ORD0197</t>
  </si>
  <si>
    <t>ORD0198</t>
  </si>
  <si>
    <t>ORD0199</t>
  </si>
  <si>
    <t>ORD0200</t>
  </si>
  <si>
    <t>ORD0201</t>
  </si>
  <si>
    <t>ORD0202</t>
  </si>
  <si>
    <t>ORD0203</t>
  </si>
  <si>
    <t>CUST024</t>
  </si>
  <si>
    <t>ORD0204</t>
  </si>
  <si>
    <t>ORD0205</t>
  </si>
  <si>
    <t>ORD0206</t>
  </si>
  <si>
    <t>ORD0207</t>
  </si>
  <si>
    <t>ORD0208</t>
  </si>
  <si>
    <t>ORD0209</t>
  </si>
  <si>
    <t>ORD0210</t>
  </si>
  <si>
    <t>ORD0211</t>
  </si>
  <si>
    <t>ORD0212</t>
  </si>
  <si>
    <t>ORD0213</t>
  </si>
  <si>
    <t>ORD0214</t>
  </si>
  <si>
    <t>CUST040</t>
  </si>
  <si>
    <t>ORD0215</t>
  </si>
  <si>
    <t>ORD0216</t>
  </si>
  <si>
    <t>ORD0217</t>
  </si>
  <si>
    <t>ORD0218</t>
  </si>
  <si>
    <t>CUST078</t>
  </si>
  <si>
    <t>ORD0219</t>
  </si>
  <si>
    <t>ORD0220</t>
  </si>
  <si>
    <t>ORD0221</t>
  </si>
  <si>
    <t>CUST044</t>
  </si>
  <si>
    <t>ORD0222</t>
  </si>
  <si>
    <t>ORD0223</t>
  </si>
  <si>
    <t>ORD0224</t>
  </si>
  <si>
    <t>ORD0225</t>
  </si>
  <si>
    <t>ORD0226</t>
  </si>
  <si>
    <t>ORD0227</t>
  </si>
  <si>
    <t>ORD0228</t>
  </si>
  <si>
    <t>ORD0229</t>
  </si>
  <si>
    <t>ORD0230</t>
  </si>
  <si>
    <t>CUST039</t>
  </si>
  <si>
    <t>ORD0231</t>
  </si>
  <si>
    <t>ORD0232</t>
  </si>
  <si>
    <t>ORD0233</t>
  </si>
  <si>
    <t>ORD0234</t>
  </si>
  <si>
    <t>ORD0235</t>
  </si>
  <si>
    <t>ORD0236</t>
  </si>
  <si>
    <t>CUST070</t>
  </si>
  <si>
    <t>ORD0237</t>
  </si>
  <si>
    <t>ORD0238</t>
  </si>
  <si>
    <t>ORD0239</t>
  </si>
  <si>
    <t>CUST109</t>
  </si>
  <si>
    <t>ORD0240</t>
  </si>
  <si>
    <t>ORD0241</t>
  </si>
  <si>
    <t>CUST117</t>
  </si>
  <si>
    <t>ORD0242</t>
  </si>
  <si>
    <t>ORD0243</t>
  </si>
  <si>
    <t>ORD0244</t>
  </si>
  <si>
    <t>ORD0245</t>
  </si>
  <si>
    <t>CUST095</t>
  </si>
  <si>
    <t>ORD0246</t>
  </si>
  <si>
    <t>ORD0247</t>
  </si>
  <si>
    <t>ORD0248</t>
  </si>
  <si>
    <t>ORD0249</t>
  </si>
  <si>
    <t>ORD0250</t>
  </si>
  <si>
    <t>ORD0251</t>
  </si>
  <si>
    <t>ORD0252</t>
  </si>
  <si>
    <t>ORD0253</t>
  </si>
  <si>
    <t>ORD0254</t>
  </si>
  <si>
    <t>ORD0255</t>
  </si>
  <si>
    <t>ORD0256</t>
  </si>
  <si>
    <t>ORD0257</t>
  </si>
  <si>
    <t>ORD0258</t>
  </si>
  <si>
    <t>CUST004</t>
  </si>
  <si>
    <t>ORD0259</t>
  </si>
  <si>
    <t>ORD0260</t>
  </si>
  <si>
    <t>ORD0261</t>
  </si>
  <si>
    <t>ORD0262</t>
  </si>
  <si>
    <t>ORD0263</t>
  </si>
  <si>
    <t>ORD0264</t>
  </si>
  <si>
    <t>ORD0265</t>
  </si>
  <si>
    <t>ORD0266</t>
  </si>
  <si>
    <t>ORD0267</t>
  </si>
  <si>
    <t>ORD0268</t>
  </si>
  <si>
    <t>ORD0269</t>
  </si>
  <si>
    <t>CUST033</t>
  </si>
  <si>
    <t>ORD0270</t>
  </si>
  <si>
    <t>ORD0271</t>
  </si>
  <si>
    <t>ORD0272</t>
  </si>
  <si>
    <t>ORD0273</t>
  </si>
  <si>
    <t>ORD0274</t>
  </si>
  <si>
    <t>ORD0275</t>
  </si>
  <si>
    <t>ORD0276</t>
  </si>
  <si>
    <t>ORD0277</t>
  </si>
  <si>
    <t>CUST054</t>
  </si>
  <si>
    <t>ORD0278</t>
  </si>
  <si>
    <t>ORD0279</t>
  </si>
  <si>
    <t>ORD0280</t>
  </si>
  <si>
    <t>ORD0281</t>
  </si>
  <si>
    <t>CUST108</t>
  </si>
  <si>
    <t>ORD0282</t>
  </si>
  <si>
    <t>ORD0283</t>
  </si>
  <si>
    <t>CUST055</t>
  </si>
  <si>
    <t>ORD0284</t>
  </si>
  <si>
    <t>ORD0285</t>
  </si>
  <si>
    <t>CUST017</t>
  </si>
  <si>
    <t>ORD0286</t>
  </si>
  <si>
    <t>ORD0287</t>
  </si>
  <si>
    <t>ORD0288</t>
  </si>
  <si>
    <t>ORD0289</t>
  </si>
  <si>
    <t>ORD0290</t>
  </si>
  <si>
    <t>ORD0291</t>
  </si>
  <si>
    <t>ORD0292</t>
  </si>
  <si>
    <t>ORD0293</t>
  </si>
  <si>
    <t>CUST090</t>
  </si>
  <si>
    <t>ORD0294</t>
  </si>
  <si>
    <t>ORD0295</t>
  </si>
  <si>
    <t>ORD0296</t>
  </si>
  <si>
    <t>ORD0297</t>
  </si>
  <si>
    <t>ORD0298</t>
  </si>
  <si>
    <t>ORD0299</t>
  </si>
  <si>
    <t>ORD0300</t>
  </si>
  <si>
    <t>ORD0301</t>
  </si>
  <si>
    <t>ORD0302</t>
  </si>
  <si>
    <t>ORD0303</t>
  </si>
  <si>
    <t>ORD0304</t>
  </si>
  <si>
    <t>ORD0305</t>
  </si>
  <si>
    <t>ORD0306</t>
  </si>
  <si>
    <t>ORD0307</t>
  </si>
  <si>
    <t>ORD0308</t>
  </si>
  <si>
    <t>CUST013</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</si>
  <si>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</si>
  <si>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</si>
  <si>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</si>
  <si>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</si>
  <si>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</si>
  <si>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</si>
  <si>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</si>
  <si>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</si>
  <si>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</si>
  <si>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</si>
  <si>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</si>
  <si>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</si>
  <si>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</si>
  <si>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</si>
  <si>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</si>
  <si>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</si>
  <si>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</si>
  <si>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</si>
  <si>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</si>
  <si>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</si>
  <si>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</si>
  <si>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</si>
  <si>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</si>
  <si>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</si>
  <si>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</si>
  <si>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</si>
  <si>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</si>
  <si>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</si>
  <si>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</si>
  <si>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</si>
  <si>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</si>
  <si>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</si>
  <si>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</si>
  <si>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</si>
  <si>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</si>
  <si>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</si>
  <si>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</si>
  <si>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</si>
  <si>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</si>
  <si>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</si>
  <si>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</si>
  <si>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</si>
  <si>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</si>
  <si>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</si>
  <si>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</si>
  <si>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</si>
  <si>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CUST052</t>
  </si>
  <si>
    <t>ORD0355</t>
  </si>
  <si>
    <t>ORD0356</t>
  </si>
  <si>
    <t>ORD0357</t>
  </si>
  <si>
    <t>ORD0358</t>
  </si>
  <si>
    <t>ORD0359</t>
  </si>
  <si>
    <t>ORD0360</t>
  </si>
  <si>
    <t>ProductName</t>
  </si>
  <si>
    <t>Category</t>
  </si>
  <si>
    <t>UnitPrice</t>
  </si>
  <si>
    <t>Product_1</t>
  </si>
  <si>
    <t>Electronics</t>
  </si>
  <si>
    <t>Product_2</t>
  </si>
  <si>
    <t>Product_3</t>
  </si>
  <si>
    <t>Home</t>
  </si>
  <si>
    <t>Product_4</t>
  </si>
  <si>
    <t>Clothing</t>
  </si>
  <si>
    <t>Product_5</t>
  </si>
  <si>
    <t>Sports</t>
  </si>
  <si>
    <t>Product_6</t>
  </si>
  <si>
    <t>Product_7</t>
  </si>
  <si>
    <t>Beauty</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</si>
  <si>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</si>
  <si>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</si>
  <si>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</si>
  <si>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</si>
  <si>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</si>
  <si>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</si>
  <si>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</si>
  <si>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</si>
  <si>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</si>
  <si>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</si>
  <si>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</si>
  <si>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</si>
  <si>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</si>
  <si>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</si>
  <si>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</si>
  <si>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</si>
  <si>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</si>
  <si>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</si>
  <si>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</si>
  <si>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</si>
  <si>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</si>
  <si>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</si>
  <si>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</si>
  <si>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</si>
  <si>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</si>
  <si>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</si>
  <si>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</si>
  <si>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</si>
  <si>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</si>
  <si>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</si>
  <si>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</si>
  <si>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</si>
  <si>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</si>
  <si>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CustomerName</t>
  </si>
  <si>
    <t>Email</t>
  </si>
  <si>
    <t>Country</t>
  </si>
  <si>
    <t>SignupDate</t>
  </si>
  <si>
    <t>Customer_1</t>
  </si>
  <si>
    <t>customer1@email.com</t>
  </si>
  <si>
    <t>India</t>
  </si>
  <si>
    <t>Customer_2</t>
  </si>
  <si>
    <t>customer2@email.com</t>
  </si>
  <si>
    <t>UK</t>
  </si>
  <si>
    <t>Customer_3</t>
  </si>
  <si>
    <t>customer3@email.com</t>
  </si>
  <si>
    <t>Customer_4</t>
  </si>
  <si>
    <t>customer4@email.com</t>
  </si>
  <si>
    <t>Customer_5</t>
  </si>
  <si>
    <t>customer5@email.com</t>
  </si>
  <si>
    <t>Customer_6</t>
  </si>
  <si>
    <t>customer6@email.com</t>
  </si>
  <si>
    <t>CUST007</t>
  </si>
  <si>
    <t>Customer_7</t>
  </si>
  <si>
    <t>customer7@email.com</t>
  </si>
  <si>
    <t>Customer_8</t>
  </si>
  <si>
    <t>customer8@email.com</t>
  </si>
  <si>
    <t>Customer_9</t>
  </si>
  <si>
    <t>customer9@email.com</t>
  </si>
  <si>
    <t>Customer_10</t>
  </si>
  <si>
    <t>customer10@email.com</t>
  </si>
  <si>
    <t>Canada</t>
  </si>
  <si>
    <t>Customer_11</t>
  </si>
  <si>
    <t>customer11@email.com</t>
  </si>
  <si>
    <t>Customer_12</t>
  </si>
  <si>
    <t>customer12@email.com</t>
  </si>
  <si>
    <t>Customer_13</t>
  </si>
  <si>
    <t>customer13@email.com</t>
  </si>
  <si>
    <t>Customer_14</t>
  </si>
  <si>
    <t>customer14@email.com</t>
  </si>
  <si>
    <t>Customer_15</t>
  </si>
  <si>
    <t>customer15@email.com</t>
  </si>
  <si>
    <t>Customer_16</t>
  </si>
  <si>
    <t>customer16@email.com</t>
  </si>
  <si>
    <t>US</t>
  </si>
  <si>
    <t>Customer_17</t>
  </si>
  <si>
    <t>customer17@email.com</t>
  </si>
  <si>
    <t>Customer_18</t>
  </si>
  <si>
    <t>customer18@email.com</t>
  </si>
  <si>
    <t>Customer_19</t>
  </si>
  <si>
    <t>customer19@email.com</t>
  </si>
  <si>
    <t>Customer_20</t>
  </si>
  <si>
    <t>customer20@email.com</t>
  </si>
  <si>
    <t>Customer_21</t>
  </si>
  <si>
    <t>customer21@email.com</t>
  </si>
  <si>
    <t>Customer_22</t>
  </si>
  <si>
    <t>customer22@email.com</t>
  </si>
  <si>
    <t>Customer_23</t>
  </si>
  <si>
    <t>customer23@email.com</t>
  </si>
  <si>
    <t>Customer_24</t>
  </si>
  <si>
    <t>customer24@email.com</t>
  </si>
  <si>
    <t>Customer_25</t>
  </si>
  <si>
    <t>customer25@email.com</t>
  </si>
  <si>
    <t>Customer_26</t>
  </si>
  <si>
    <t>customer26@email.com</t>
  </si>
  <si>
    <t>Customer_27</t>
  </si>
  <si>
    <t>customer27@email.com</t>
  </si>
  <si>
    <t>CUST028</t>
  </si>
  <si>
    <t>Customer_28</t>
  </si>
  <si>
    <t>customer28@email.com</t>
  </si>
  <si>
    <t>Customer_29</t>
  </si>
  <si>
    <t>customer29@email.com</t>
  </si>
  <si>
    <t>Customer_30</t>
  </si>
  <si>
    <t>customer30@email.com</t>
  </si>
  <si>
    <t>Customer_31</t>
  </si>
  <si>
    <t>customer31@email.com</t>
  </si>
  <si>
    <t>Customer_32</t>
  </si>
  <si>
    <t>customer32@email.com</t>
  </si>
  <si>
    <t>Customer_33</t>
  </si>
  <si>
    <t>customer33@email.com</t>
  </si>
  <si>
    <t>Customer_34</t>
  </si>
  <si>
    <t>customer34@email.com</t>
  </si>
  <si>
    <t>Customer_35</t>
  </si>
  <si>
    <t>customer35@email.com</t>
  </si>
  <si>
    <t>Customer_36</t>
  </si>
  <si>
    <t>customer36@email.com</t>
  </si>
  <si>
    <t>CUST037</t>
  </si>
  <si>
    <t>Customer_37</t>
  </si>
  <si>
    <t>customer37@email.com</t>
  </si>
  <si>
    <t>Customer_38</t>
  </si>
  <si>
    <t>customer38@email.com</t>
  </si>
  <si>
    <t>Customer_39</t>
  </si>
  <si>
    <t>customer39@email.com</t>
  </si>
  <si>
    <t>Customer_40</t>
  </si>
  <si>
    <t>customer40@email.com</t>
  </si>
  <si>
    <t>Customer_41</t>
  </si>
  <si>
    <t>customer41@email.com</t>
  </si>
  <si>
    <t>Customer_42</t>
  </si>
  <si>
    <t>customer42@email.com</t>
  </si>
  <si>
    <t>Customer_43</t>
  </si>
  <si>
    <t>customer43@email.com</t>
  </si>
  <si>
    <t>Customer_44</t>
  </si>
  <si>
    <t>customer44@email.com</t>
  </si>
  <si>
    <t>Customer_45</t>
  </si>
  <si>
    <t>customer45@email.com</t>
  </si>
  <si>
    <t>Customer_46</t>
  </si>
  <si>
    <t>customer46@email.com</t>
  </si>
  <si>
    <t>Customer_47</t>
  </si>
  <si>
    <t>customer47@email.com</t>
  </si>
  <si>
    <t>Customer_48</t>
  </si>
  <si>
    <t>customer48@email.com</t>
  </si>
  <si>
    <t>Customer_49</t>
  </si>
  <si>
    <t>customer49@email.com</t>
  </si>
  <si>
    <t>Customer_50</t>
  </si>
  <si>
    <t>customer50@email.com</t>
  </si>
  <si>
    <t>Customer_51</t>
  </si>
  <si>
    <t>customer51@email.com</t>
  </si>
  <si>
    <t>Customer_52</t>
  </si>
  <si>
    <t>customer52@email.com</t>
  </si>
  <si>
    <t>Customer_53</t>
  </si>
  <si>
    <t>customer53@email.com</t>
  </si>
  <si>
    <t>Customer_54</t>
  </si>
  <si>
    <t>customer54@email.com</t>
  </si>
  <si>
    <t>Customer_55</t>
  </si>
  <si>
    <t>customer55@email.com</t>
  </si>
  <si>
    <t>Customer_56</t>
  </si>
  <si>
    <t>customer56@email.com</t>
  </si>
  <si>
    <t>CUST057</t>
  </si>
  <si>
    <t>Customer_57</t>
  </si>
  <si>
    <t>customer57@email.com</t>
  </si>
  <si>
    <t>Customer_58</t>
  </si>
  <si>
    <t>customer58@email.com</t>
  </si>
  <si>
    <t>Customer_59</t>
  </si>
  <si>
    <t>customer59@email.com</t>
  </si>
  <si>
    <t>Customer_60</t>
  </si>
  <si>
    <t>customer60@email.com</t>
  </si>
  <si>
    <t>Customer_61</t>
  </si>
  <si>
    <t>customer61@email.com</t>
  </si>
  <si>
    <t>Customer_62</t>
  </si>
  <si>
    <t>customer62@email.com</t>
  </si>
  <si>
    <t>Customer_63</t>
  </si>
  <si>
    <t>customer63@email.com</t>
  </si>
  <si>
    <t>Customer_64</t>
  </si>
  <si>
    <t>customer64@email.com</t>
  </si>
  <si>
    <t>CUST065</t>
  </si>
  <si>
    <t>Customer_65</t>
  </si>
  <si>
    <t>customer65@email.com</t>
  </si>
  <si>
    <t>Customer_66</t>
  </si>
  <si>
    <t>customer66@email.com</t>
  </si>
  <si>
    <t>Customer_67</t>
  </si>
  <si>
    <t>customer67@email.com</t>
  </si>
  <si>
    <t>Customer_68</t>
  </si>
  <si>
    <t>customer68@email.com</t>
  </si>
  <si>
    <t>Customer_69</t>
  </si>
  <si>
    <t>customer69@email.com</t>
  </si>
  <si>
    <t>Customer_70</t>
  </si>
  <si>
    <t>customer70@email.com</t>
  </si>
  <si>
    <t>Customer_71</t>
  </si>
  <si>
    <t>customer71@email.com</t>
  </si>
  <si>
    <t>Customer_72</t>
  </si>
  <si>
    <t>customer72@email.com</t>
  </si>
  <si>
    <t>Customer_73</t>
  </si>
  <si>
    <t>customer73@email.com</t>
  </si>
  <si>
    <t>Customer_74</t>
  </si>
  <si>
    <t>customer74@email.com</t>
  </si>
  <si>
    <t>Customer_75</t>
  </si>
  <si>
    <t>customer75@email.com</t>
  </si>
  <si>
    <t>Customer_76</t>
  </si>
  <si>
    <t>customer76@email.com</t>
  </si>
  <si>
    <t>Customer_77</t>
  </si>
  <si>
    <t>customer77@email.com</t>
  </si>
  <si>
    <t>Customer_78</t>
  </si>
  <si>
    <t>customer78@email.com</t>
  </si>
  <si>
    <t>Customer_79</t>
  </si>
  <si>
    <t>customer79@email.com</t>
  </si>
  <si>
    <t>Customer_80</t>
  </si>
  <si>
    <t>customer80@email.com</t>
  </si>
  <si>
    <t>Customer_81</t>
  </si>
  <si>
    <t>customer81@email.com</t>
  </si>
  <si>
    <t>Customer_82</t>
  </si>
  <si>
    <t>customer82@email.com</t>
  </si>
  <si>
    <t>Customer_83</t>
  </si>
  <si>
    <t>customer83@email.com</t>
  </si>
  <si>
    <t>Customer_84</t>
  </si>
  <si>
    <t>customer84@email.com</t>
  </si>
  <si>
    <t>Customer_85</t>
  </si>
  <si>
    <t>customer85@email.com</t>
  </si>
  <si>
    <t>Customer_86</t>
  </si>
  <si>
    <t>customer86@email.com</t>
  </si>
  <si>
    <t>Customer_87</t>
  </si>
  <si>
    <t>customer87@email.com</t>
  </si>
  <si>
    <t>Customer_88</t>
  </si>
  <si>
    <t>customer88@email.com</t>
  </si>
  <si>
    <t>Customer_89</t>
  </si>
  <si>
    <t>customer89@email.com</t>
  </si>
  <si>
    <t>Customer_90</t>
  </si>
  <si>
    <t>customer90@email.com</t>
  </si>
  <si>
    <t>Customer_91</t>
  </si>
  <si>
    <t>customer91@email.com</t>
  </si>
  <si>
    <t>Customer_92</t>
  </si>
  <si>
    <t>customer92@email.com</t>
  </si>
  <si>
    <t>Customer_93</t>
  </si>
  <si>
    <t>customer93@email.com</t>
  </si>
  <si>
    <t>Customer_94</t>
  </si>
  <si>
    <t>customer94@email.com</t>
  </si>
  <si>
    <t>Customer_95</t>
  </si>
  <si>
    <t>customer95@email.com</t>
  </si>
  <si>
    <t>Customer_96</t>
  </si>
  <si>
    <t>customer96@email.com</t>
  </si>
  <si>
    <t>Customer_97</t>
  </si>
  <si>
    <t>customer97@email.com</t>
  </si>
  <si>
    <t>Customer_98</t>
  </si>
  <si>
    <t>customer98@email.com</t>
  </si>
  <si>
    <t>Customer_99</t>
  </si>
  <si>
    <t>customer99@email.com</t>
  </si>
  <si>
    <t>Customer_100</t>
  </si>
  <si>
    <t>customer100@email.com</t>
  </si>
  <si>
    <t>Customer_101</t>
  </si>
  <si>
    <t>customer101@email.com</t>
  </si>
  <si>
    <t>Customer_102</t>
  </si>
  <si>
    <t>customer102@email.com</t>
  </si>
  <si>
    <t>Customer_103</t>
  </si>
  <si>
    <t>customer103@email.com</t>
  </si>
  <si>
    <t>Customer_104</t>
  </si>
  <si>
    <t>customer104@email.com</t>
  </si>
  <si>
    <t>Customer_105</t>
  </si>
  <si>
    <t>customer105@email.com</t>
  </si>
  <si>
    <t>Customer_106</t>
  </si>
  <si>
    <t>customer106@email.com</t>
  </si>
  <si>
    <t>Customer_107</t>
  </si>
  <si>
    <t>customer107@email.com</t>
  </si>
  <si>
    <t>Customer_108</t>
  </si>
  <si>
    <t>customer108@email.com</t>
  </si>
  <si>
    <t>Customer_109</t>
  </si>
  <si>
    <t>customer109@email.com</t>
  </si>
  <si>
    <t>Customer_110</t>
  </si>
  <si>
    <t>customer110@email.com</t>
  </si>
  <si>
    <t>Customer_111</t>
  </si>
  <si>
    <t>customer111@email.com</t>
  </si>
  <si>
    <t>Customer_112</t>
  </si>
  <si>
    <t>customer112@email.com</t>
  </si>
  <si>
    <t>Customer_113</t>
  </si>
  <si>
    <t>customer113@email.com</t>
  </si>
  <si>
    <t>Customer_114</t>
  </si>
  <si>
    <t>customer114@email.com</t>
  </si>
  <si>
    <t>Customer_115</t>
  </si>
  <si>
    <t>customer115@email.com</t>
  </si>
  <si>
    <t>Customer_116</t>
  </si>
  <si>
    <t>customer116@email.com</t>
  </si>
  <si>
    <t>Customer_117</t>
  </si>
  <si>
    <t>customer117@email.com</t>
  </si>
  <si>
    <t>Customer_118</t>
  </si>
  <si>
    <t>customer118@email.com</t>
  </si>
  <si>
    <t>Customer_119</t>
  </si>
  <si>
    <t>customer119@email.com</t>
  </si>
  <si>
    <t>Customer_120</t>
  </si>
  <si>
    <t>customer120@email.com</t>
  </si>
  <si>
    <t>canada</t>
  </si>
  <si>
    <t>india</t>
  </si>
  <si>
    <t>beauty</t>
  </si>
  <si>
    <t>sports</t>
  </si>
  <si>
    <t>electronics</t>
  </si>
  <si>
    <t>home</t>
  </si>
  <si>
    <t>clothing</t>
  </si>
  <si>
    <t>Row Labels</t>
  </si>
  <si>
    <t>Sum of SalesAmount</t>
  </si>
  <si>
    <t>Grand Total</t>
  </si>
  <si>
    <t>All</t>
  </si>
  <si>
    <t>Jan</t>
  </si>
  <si>
    <t>Feb</t>
  </si>
  <si>
    <t>Mar</t>
  </si>
  <si>
    <t>Apr</t>
  </si>
  <si>
    <t>May</t>
  </si>
  <si>
    <t>Jun</t>
  </si>
  <si>
    <t>Revenue</t>
  </si>
  <si>
    <t>Total</t>
  </si>
  <si>
    <t>Average order value</t>
  </si>
  <si>
    <t xml:space="preserve">Total-revenue </t>
  </si>
  <si>
    <t>Total quantity sold</t>
  </si>
  <si>
    <t>Revenue(order)</t>
  </si>
  <si>
    <t>Count of SalesAmount</t>
  </si>
  <si>
    <t>Sum of Revenue(order)</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</si>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</sst>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0"/>
  </numFmts>
  <fonts count="5">
    <font>
      <sz val="11"/>
      <color theme="1"/>
      <name val="Aptos Narrow"/>
      <family val="2"/>
      <scheme val="minor"/>
    </font>
    <font>
      <b/>
      <sz val="11"/>
      <name val="Calibri"/>
      <family val="2"/>
    </font>
    <font>
      <b/>
      <sz val="11"/>
      <color theme="0"/>
      <name val="Calibri"/>
      <family val="2"/>
    </font>
    <font>
      <sz val="8"/>
      <name val="Aptos Narrow"/>
      <family val="2"/>
      <scheme val="minor"/>
    </font>
    <font>
      <b/>
      <sz val="11"/>
      <color theme="1"/>
      <name val="Aptos Narrow"/>
      <scheme val="minor"/>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164" fontId="0" fillId="0" borderId="0" xfId="0" applyNumberFormat="1"/>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0" borderId="0" xfId="0" applyAlignment="1">
      <alignment horizontal="center"/>
    </xf>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0" fillId="2" borderId="0" xfId="0" applyFill="1" applyAlignment="1">
      <alignment horizontal="left"/>
    </xf>
    <xf numFmtId="165" fontId="0" fillId="2" borderId="0" xfId="0" applyNumberFormat="1" applyFill="1"/>
    <xf numFmtId="10" fontId="0" fillId="0" borderId="0" xfId="0" applyNumberFormat="1"/>
    <xf numFmtId="0" fontId="4" fillId="0" borderId="0" xfId="0" applyFont="1"/>
    <xf numFmtId="2" fontId="0" fillId="0" borderId="0" xfId="0" applyNumberFormat="1"/>
    <xf numFmtId="0" fontId="0" fillId="3" borderId="0" xfId="0" applyFill="1" applyAlignment="1">
      <alignment horizontal="center"/>
    </xf>
  </cellXfs>
  <cellStyles count="1">
    <cellStyle name="Normal" xfId="0" builtinId="0"/>
  </cellStyles>
  <dxfs count="51">
    <dxf>
      <numFmt numFmtId="165" formatCode="&quot;$&quot;#,##0.00"/>
    </dxf>
    <dxf>
      <numFmt numFmtId="0" formatCode="General"/>
    </dxf>
    <dxf>
      <numFmt numFmtId="165" formatCode="&quot;$&quot;#,##0.00"/>
    </dxf>
    <dxf>
      <numFmt numFmtId="165" formatCode="&quot;$&quot;#,##0.00"/>
    </dxf>
    <dxf>
      <numFmt numFmtId="165" formatCode="&quot;$&quot;#,##0.00"/>
    </dxf>
    <dxf>
      <numFmt numFmtId="0" formatCode="General"/>
    </dxf>
    <dxf>
      <numFmt numFmtId="14" formatCode="0.00%"/>
    </dxf>
    <dxf>
      <numFmt numFmtId="165" formatCode="&quot;$&quot;#,##0.00"/>
    </dxf>
    <dxf>
      <numFmt numFmtId="165" formatCode="&quot;$&quot;#,##0.00"/>
    </dxf>
    <dxf>
      <numFmt numFmtId="2" formatCode="0.00"/>
    </dxf>
    <dxf>
      <numFmt numFmtId="2" formatCode="0.00"/>
    </dxf>
    <dxf>
      <numFmt numFmtId="165" formatCode="&quot;$&quot;#,##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4" formatCode="0.00%"/>
    </dxf>
    <dxf>
      <numFmt numFmtId="0" formatCode="General"/>
    </dxf>
    <dxf>
      <numFmt numFmtId="165" formatCode="&quot;$&quot;#,##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5" formatCode="&quot;$&quot;#,##0.00"/>
    </dxf>
    <dxf>
      <numFmt numFmtId="2" formatCode="0.00"/>
    </dxf>
    <dxf>
      <numFmt numFmtId="2" formatCode="0.00"/>
    </dxf>
    <dxf>
      <numFmt numFmtId="165" formatCode="&quot;$&quot;#,##0.00"/>
    </dxf>
    <dxf>
      <numFmt numFmtId="165" formatCode="&quot;$&quot;#,##0.00"/>
    </dxf>
    <dxf>
      <numFmt numFmtId="165" formatCode="&quot;$&quot;#,##0.00"/>
    </dxf>
    <dxf>
      <numFmt numFmtId="165" formatCode="&quot;$&quot;#,##0.00"/>
    </dxf>
    <dxf>
      <numFmt numFmtId="0" formatCode="General"/>
    </dxf>
    <dxf>
      <numFmt numFmtId="165" formatCode="&quot;$&quot;#,##0.00"/>
    </dxf>
    <dxf>
      <numFmt numFmtId="165"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[jubril michael assessment DA.2025.TC5.234.xlsx]Pivotchart!PivotTable9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2294131901949505E-3"/>
              <c:y val="-5.0346626170637175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2294131901948911E-3"/>
              <c:y val="-5.0346626170637175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1.4955564903597434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2294131901948911E-3"/>
              <c:y val="9.846690812736719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4.4718271763198217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4.9267447709236125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3.2188210294955525E-3"/>
              <c:y val="-2.4343240842523043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9.6564630884866578E-3"/>
              <c:y val="-1.4634992806723328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6.4376420589911049E-3"/>
              <c:y val="-1.9489116824623218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9.6564630884867757E-3"/>
              <c:y val="-4.9267447709236125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
              <c:y val="-1.4634992806723351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9.6564630884866578E-3"/>
              <c:y val="-2.9197364860422913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3.2188210294955525E-3"/>
              <c:y val="-4.92674477092359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6.4376420589911049E-3"/>
              <c:y val="-9.780868788823437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1.1802207434709618E-16"/>
              <c:y val="-9.7808687888234821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lt1">
                <a:alpha val="50000"/>
              </a:schemeClr>
            </a:solidFill>
            <a:round/>
          </a:ln>
          <a:effectLst/>
        </c:spPr>
      </c:pivotFmt>
      <c:pivotFmt>
        <c:idx val="23"/>
        <c:spPr>
          <a:solidFill>
            <a:schemeClr val="accent1">
              <a:alpha val="85000"/>
            </a:schemeClr>
          </a:solidFill>
          <a:ln w="9525" cap="flat" cmpd="sng" algn="ctr">
            <a:solidFill>
              <a:schemeClr val="lt1">
                <a:alpha val="50000"/>
              </a:schemeClr>
            </a:solidFill>
            <a:round/>
          </a:ln>
          <a:effectLst/>
        </c:spPr>
      </c:pivotFmt>
      <c:pivotFmt>
        <c:idx val="24"/>
        <c:spPr>
          <a:solidFill>
            <a:schemeClr val="accent1">
              <a:alpha val="85000"/>
            </a:schemeClr>
          </a:solidFill>
          <a:ln w="9525" cap="flat" cmpd="sng" algn="ctr">
            <a:solidFill>
              <a:schemeClr val="lt1">
                <a:alpha val="50000"/>
              </a:schemeClr>
            </a:solidFill>
            <a:round/>
          </a:ln>
          <a:effectLst/>
        </c:spPr>
      </c:pivotFmt>
      <c:pivotFmt>
        <c:idx val="25"/>
        <c:spPr>
          <a:solidFill>
            <a:schemeClr val="accent1">
              <a:alpha val="85000"/>
            </a:schemeClr>
          </a:solidFill>
          <a:ln w="9525" cap="flat" cmpd="sng" algn="ctr">
            <a:solidFill>
              <a:schemeClr val="lt1">
                <a:alpha val="50000"/>
              </a:schemeClr>
            </a:solidFill>
            <a:round/>
          </a:ln>
          <a:effectLst/>
        </c:spPr>
      </c:pivotFmt>
      <c:pivotFmt>
        <c:idx val="26"/>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clustered"/>
        <c:varyColors val="0"/>
        <c:ser>
          <c:idx val="0"/>
          <c:order val="0"/>
          <c:tx>
            <c:strRef>
              <c:f>Pivotchart!$B$3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Pivotchart!$A$4:$A$9</c:f>
              <c:strCache>
                <c:ptCount val="5"/>
                <c:pt idx="0">
                  <c:v>Beauty</c:v>
                </c:pt>
                <c:pt idx="1">
                  <c:v>Clothing</c:v>
                </c:pt>
                <c:pt idx="2">
                  <c:v>Electronics</c:v>
                </c:pt>
                <c:pt idx="3">
                  <c:v>Home</c:v>
                </c:pt>
                <c:pt idx="4">
                  <c:v>Sports</c:v>
                </c:pt>
              </c:strCache>
            </c:strRef>
          </c:cat>
          <c:val>
            <c:numRef>
              <c:f>Pivotchart!$B$4:$B$9</c:f>
              <c:numCache>
                <c:formatCode>"$"#,##0.00</c:formatCode>
                <c:ptCount val="5"/>
                <c:pt idx="0">
                  <c:v>49960.63</c:v>
                </c:pt>
                <c:pt idx="1">
                  <c:v>37792.22</c:v>
                </c:pt>
                <c:pt idx="2">
                  <c:v>74267.19</c:v>
                </c:pt>
                <c:pt idx="3">
                  <c:v>42451.15</c:v>
                </c:pt>
                <c:pt idx="4">
                  <c:v>44843.46</c:v>
                </c:pt>
              </c:numCache>
            </c:numRef>
          </c:val>
          <c:extLst>
            <c:ext xmlns:c16="http://schemas.microsoft.com/office/drawing/2014/chart" uri="{C3380CC4-5D6E-409C-BE32-E72D297353CC}">
              <c16:uniqueId val="{0000000E-AA02-4169-8788-99D4FE7C4557}"/>
            </c:ext>
          </c:extLst>
        </c:ser>
        <c:dLbls>
          <c:dLblPos val="inEnd"/>
          <c:showLegendKey val="0"/>
          <c:showVal val="1"/>
          <c:showCatName val="0"/>
          <c:showSerName val="0"/>
          <c:showPercent val="0"/>
          <c:showBubbleSize val="0"/>
        </c:dLbls>
        <c:gapWidth val="65"/>
        <c:axId val="969747567"/>
        <c:axId val="969748399"/>
      </c:barChart>
      <c:catAx>
        <c:axId val="9697475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69748399"/>
        <c:crosses val="autoZero"/>
        <c:auto val="1"/>
        <c:lblAlgn val="ctr"/>
        <c:lblOffset val="100"/>
        <c:noMultiLvlLbl val="0"/>
      </c:catAx>
      <c:valAx>
        <c:axId val="96974839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969747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[jubril michael assessment DA.2025.TC5.234.xlsx]Pivotchart!PivotTable10</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Pivotchart!$E$12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Pivotchart!$D$13:$D$17</c:f>
              <c:strCache>
                <c:ptCount val="4"/>
                <c:pt idx="0">
                  <c:v>Canada</c:v>
                </c:pt>
                <c:pt idx="1">
                  <c:v>India</c:v>
                </c:pt>
                <c:pt idx="2">
                  <c:v>UK</c:v>
                </c:pt>
                <c:pt idx="3">
                  <c:v>US</c:v>
                </c:pt>
              </c:strCache>
            </c:strRef>
          </c:cat>
          <c:val>
            <c:numRef>
              <c:f>Pivotchart!$E$13:$E$17</c:f>
              <c:numCache>
                <c:formatCode>"$"#,##0.00</c:formatCode>
                <c:ptCount val="4"/>
                <c:pt idx="0">
                  <c:v>57774.679999999978</c:v>
                </c:pt>
                <c:pt idx="1">
                  <c:v>51405.479999999996</c:v>
                </c:pt>
                <c:pt idx="2">
                  <c:v>86879.589999999982</c:v>
                </c:pt>
                <c:pt idx="3">
                  <c:v>53254.900000000009</c:v>
                </c:pt>
              </c:numCache>
            </c:numRef>
          </c:val>
          <c:extLst>
            <c:ext xmlns:c16="http://schemas.microsoft.com/office/drawing/2014/chart" uri="{C3380CC4-5D6E-409C-BE32-E72D297353CC}">
              <c16:uniqueId val="{00000001-B640-447C-AC46-76AD1DF43934}"/>
            </c:ext>
          </c:extLst>
        </c:ser>
        <c:dLbls>
          <c:dLblPos val="inEnd"/>
          <c:showLegendKey val="0"/>
          <c:showVal val="1"/>
          <c:showCatName val="0"/>
          <c:showSerName val="0"/>
          <c:showPercent val="0"/>
          <c:showBubbleSize val="0"/>
        </c:dLbls>
        <c:gapWidth val="65"/>
        <c:axId val="1059157167"/>
        <c:axId val="1059168399"/>
      </c:barChart>
      <c:catAx>
        <c:axId val="10591571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9168399"/>
        <c:crosses val="autoZero"/>
        <c:auto val="1"/>
        <c:lblAlgn val="ctr"/>
        <c:lblOffset val="100"/>
        <c:noMultiLvlLbl val="0"/>
      </c:catAx>
      <c:valAx>
        <c:axId val="105916839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59157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[jubril michael assessment DA.2025.TC5.234.xlsx]Pivotchart!PivotTable11</c:name>
    <c:fmtId val="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9.5838815100713293E-2"/>
              <c:y val="-3.855216031783301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layout>
            <c:manualLayout>
              <c:x val="9.5838815100713293E-2"/>
              <c:y val="-3.855216031783301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dLbl>
          <c:idx val="0"/>
          <c:layout>
            <c:manualLayout>
              <c:x val="9.5838815100713293E-2"/>
              <c:y val="-3.855216031783301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dLbl>
          <c:idx val="0"/>
          <c:layout>
            <c:manualLayout>
              <c:x val="9.4287912026766216E-2"/>
              <c:y val="-5.712417585242429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lt1">
                <a:alpha val="50000"/>
              </a:schemeClr>
            </a:solidFill>
            <a:round/>
          </a:ln>
          <a:effectLst/>
        </c:spPr>
      </c:pivotFmt>
      <c:pivotFmt>
        <c:idx val="24"/>
        <c:spPr>
          <a:solidFill>
            <a:schemeClr val="accent1">
              <a:alpha val="85000"/>
            </a:schemeClr>
          </a:solidFill>
          <a:ln w="9525" cap="flat" cmpd="sng" algn="ctr">
            <a:solidFill>
              <a:schemeClr val="lt1">
                <a:alpha val="50000"/>
              </a:schemeClr>
            </a:solidFill>
            <a:round/>
          </a:ln>
          <a:effectLst/>
        </c:spPr>
      </c:pivotFmt>
      <c:pivotFmt>
        <c:idx val="25"/>
        <c:spPr>
          <a:solidFill>
            <a:schemeClr val="accent1">
              <a:alpha val="85000"/>
            </a:schemeClr>
          </a:solidFill>
          <a:ln w="9525" cap="flat" cmpd="sng" algn="ctr">
            <a:solidFill>
              <a:schemeClr val="lt1">
                <a:alpha val="50000"/>
              </a:schemeClr>
            </a:solidFill>
            <a:round/>
          </a:ln>
          <a:effectLst/>
        </c:spPr>
      </c:pivotFmt>
      <c:pivotFmt>
        <c:idx val="26"/>
        <c:spPr>
          <a:solidFill>
            <a:schemeClr val="accent1">
              <a:alpha val="85000"/>
            </a:schemeClr>
          </a:solidFill>
          <a:ln w="9525" cap="flat" cmpd="sng" algn="ctr">
            <a:solidFill>
              <a:schemeClr val="lt1">
                <a:alpha val="50000"/>
              </a:schemeClr>
            </a:solidFill>
            <a:round/>
          </a:ln>
          <a:effectLst/>
        </c:spPr>
      </c:pivotFmt>
      <c:pivotFmt>
        <c:idx val="27"/>
        <c:spPr>
          <a:solidFill>
            <a:schemeClr val="accent1">
              <a:alpha val="85000"/>
            </a:schemeClr>
          </a:soli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Pivotchart!$B$24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Pivotchart!$A$25:$A$30</c:f>
              <c:strCache>
                <c:ptCount val="5"/>
                <c:pt idx="0">
                  <c:v>Product_10</c:v>
                </c:pt>
                <c:pt idx="1">
                  <c:v>Product_13</c:v>
                </c:pt>
                <c:pt idx="2">
                  <c:v>Product_24</c:v>
                </c:pt>
                <c:pt idx="3">
                  <c:v>Product_3</c:v>
                </c:pt>
                <c:pt idx="4">
                  <c:v>Product_8</c:v>
                </c:pt>
              </c:strCache>
            </c:strRef>
          </c:cat>
          <c:val>
            <c:numRef>
              <c:f>Pivotchart!$B$25:$B$30</c:f>
              <c:numCache>
                <c:formatCode>"$"#,##0.00</c:formatCode>
                <c:ptCount val="5"/>
                <c:pt idx="0">
                  <c:v>14731.52</c:v>
                </c:pt>
                <c:pt idx="1">
                  <c:v>14482.44</c:v>
                </c:pt>
                <c:pt idx="2">
                  <c:v>19444.599999999999</c:v>
                </c:pt>
                <c:pt idx="3">
                  <c:v>12836.4</c:v>
                </c:pt>
                <c:pt idx="4">
                  <c:v>11651.5</c:v>
                </c:pt>
              </c:numCache>
            </c:numRef>
          </c:val>
          <c:extLst>
            <c:ext xmlns:c16="http://schemas.microsoft.com/office/drawing/2014/chart" uri="{C3380CC4-5D6E-409C-BE32-E72D297353CC}">
              <c16:uniqueId val="{0000000E-3C04-47F7-B460-695EE21D3B79}"/>
            </c:ext>
          </c:extLst>
        </c:ser>
        <c:dLbls>
          <c:dLblPos val="inEnd"/>
          <c:showLegendKey val="0"/>
          <c:showVal val="1"/>
          <c:showCatName val="0"/>
          <c:showSerName val="0"/>
          <c:showPercent val="0"/>
          <c:showBubbleSize val="0"/>
        </c:dLbls>
        <c:gapWidth val="65"/>
        <c:axId val="1145503727"/>
        <c:axId val="1145484175"/>
      </c:barChart>
      <c:valAx>
        <c:axId val="1145484175"/>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1145503727"/>
        <c:crosses val="autoZero"/>
        <c:crossBetween val="between"/>
      </c:valAx>
      <c:catAx>
        <c:axId val="11455037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548417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[jubril michael assessment DA.2025.TC5.234.xlsx]Pivotchart!PivotTable12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6.3870280346705222E-2"/>
              <c:y val="0.30812528810927531"/>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18248651527630064"/>
              <c:y val="-0.23227906334391524"/>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10949190916578037"/>
              <c:y val="-0.1327308933393801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3.0414419212716772E-3"/>
              <c:y val="-0.26072139763092528"/>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3.3455861133988449E-2"/>
              <c:y val="0.2370194523917503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
              <c:y val="-0.13747128238721512"/>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solidFill>
              <a:schemeClr val="accent1"/>
            </a:solidFill>
            <a:round/>
          </a:ln>
          <a:effectLst/>
        </c:spPr>
        <c:marker>
          <c:symbol val="circle"/>
          <c:size val="17"/>
          <c:spPr>
            <a:solidFill>
              <a:schemeClr val="accent1"/>
            </a:solidFill>
            <a:ln>
              <a:noFill/>
            </a:ln>
            <a:effectLst/>
          </c:spPr>
        </c:marker>
        <c:dLbl>
          <c:idx val="0"/>
          <c:layout>
            <c:manualLayout>
              <c:x val="-0.10337794735005271"/>
              <c:y val="0.224492090875481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1750" cap="rnd">
            <a:solidFill>
              <a:schemeClr val="accent1"/>
            </a:solidFill>
            <a:round/>
          </a:ln>
          <a:effectLst/>
        </c:spPr>
        <c:marker>
          <c:symbol val="circle"/>
          <c:size val="17"/>
          <c:spPr>
            <a:solidFill>
              <a:schemeClr val="accent1"/>
            </a:solidFill>
            <a:ln>
              <a:noFill/>
            </a:ln>
            <a:effectLst/>
          </c:spPr>
        </c:marker>
        <c:dLbl>
          <c:idx val="0"/>
          <c:layout>
            <c:manualLayout>
              <c:x val="1.7507906234594004E-2"/>
              <c:y val="-9.07521218432797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chemeClr val="accent1"/>
            </a:solidFill>
            <a:round/>
          </a:ln>
          <a:effectLst/>
        </c:spPr>
        <c:marker>
          <c:symbol val="circle"/>
          <c:size val="17"/>
          <c:spPr>
            <a:solidFill>
              <a:schemeClr val="accent1"/>
            </a:solidFill>
            <a:ln>
              <a:noFill/>
            </a:ln>
            <a:effectLst/>
          </c:spPr>
        </c:marker>
        <c:dLbl>
          <c:idx val="0"/>
          <c:layout>
            <c:manualLayout>
              <c:x val="-0.12119020475447025"/>
              <c:y val="-0.191057098617431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1750" cap="rnd">
            <a:solidFill>
              <a:schemeClr val="accent1"/>
            </a:solidFill>
            <a:round/>
          </a:ln>
          <a:effectLst/>
        </c:spPr>
        <c:marker>
          <c:symbol val="circle"/>
          <c:size val="17"/>
          <c:spPr>
            <a:solidFill>
              <a:schemeClr val="accent1"/>
            </a:solidFill>
            <a:ln>
              <a:noFill/>
            </a:ln>
            <a:effectLst/>
          </c:spPr>
        </c:marker>
        <c:dLbl>
          <c:idx val="0"/>
          <c:layout>
            <c:manualLayout>
              <c:x val="-0.10040923778264979"/>
              <c:y val="0.267479938064403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1750" cap="rnd">
            <a:solidFill>
              <a:schemeClr val="accent1"/>
            </a:solidFill>
            <a:round/>
          </a:ln>
          <a:effectLst/>
        </c:spPr>
        <c:marker>
          <c:symbol val="circle"/>
          <c:size val="17"/>
          <c:spPr>
            <a:solidFill>
              <a:schemeClr val="accent1"/>
            </a:solidFill>
            <a:ln>
              <a:noFill/>
            </a:ln>
            <a:effectLst/>
          </c:spPr>
        </c:marker>
        <c:dLbl>
          <c:idx val="0"/>
          <c:layout>
            <c:manualLayout>
              <c:x val="-0.14790859086109642"/>
              <c:y val="-0.210162808479174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31750" cap="rnd">
            <a:solidFill>
              <a:schemeClr val="accent1"/>
            </a:solidFill>
            <a:round/>
          </a:ln>
          <a:effectLst/>
        </c:spPr>
        <c:marker>
          <c:symbol val="circle"/>
          <c:size val="17"/>
          <c:spPr>
            <a:solidFill>
              <a:schemeClr val="accent1"/>
            </a:solidFill>
            <a:ln>
              <a:noFill/>
            </a:ln>
            <a:effectLst/>
          </c:spPr>
        </c:marker>
        <c:dLbl>
          <c:idx val="0"/>
          <c:layout>
            <c:manualLayout>
              <c:x val="-5.005010573982463E-2"/>
              <c:y val="0.267479938064403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455861133988449E-2"/>
          <c:y val="7.5846224765360071E-2"/>
          <c:w val="0.93308827773202307"/>
          <c:h val="0.837886906261606"/>
        </c:manualLayout>
      </c:layout>
      <c:lineChart>
        <c:grouping val="standard"/>
        <c:varyColors val="0"/>
        <c:ser>
          <c:idx val="0"/>
          <c:order val="0"/>
          <c:tx>
            <c:strRef>
              <c:f>Pivotchart!$B$12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Pt>
            <c:idx val="0"/>
            <c:marker>
              <c:symbol val="circle"/>
              <c:size val="17"/>
              <c:spPr>
                <a:solidFill>
                  <a:schemeClr val="accent1"/>
                </a:solidFill>
                <a:ln>
                  <a:noFill/>
                </a:ln>
                <a:effectLst/>
              </c:spPr>
            </c:marker>
            <c:bubble3D val="0"/>
            <c:extLst>
              <c:ext xmlns:c16="http://schemas.microsoft.com/office/drawing/2014/chart" uri="{C3380CC4-5D6E-409C-BE32-E72D297353CC}">
                <c16:uniqueId val="{00000003-EC4A-409D-BCEB-235B650E41AD}"/>
              </c:ext>
            </c:extLst>
          </c:dPt>
          <c:dPt>
            <c:idx val="1"/>
            <c:marker>
              <c:symbol val="circle"/>
              <c:size val="17"/>
              <c:spPr>
                <a:solidFill>
                  <a:schemeClr val="accent1"/>
                </a:solidFill>
                <a:ln>
                  <a:noFill/>
                </a:ln>
                <a:effectLst/>
              </c:spPr>
            </c:marker>
            <c:bubble3D val="0"/>
            <c:extLst>
              <c:ext xmlns:c16="http://schemas.microsoft.com/office/drawing/2014/chart" uri="{C3380CC4-5D6E-409C-BE32-E72D297353CC}">
                <c16:uniqueId val="{00000002-EC4A-409D-BCEB-235B650E41AD}"/>
              </c:ext>
            </c:extLst>
          </c:dPt>
          <c:dPt>
            <c:idx val="2"/>
            <c:marker>
              <c:symbol val="circle"/>
              <c:size val="17"/>
              <c:spPr>
                <a:solidFill>
                  <a:schemeClr val="accent1"/>
                </a:solidFill>
                <a:ln>
                  <a:noFill/>
                </a:ln>
                <a:effectLst/>
              </c:spPr>
            </c:marker>
            <c:bubble3D val="0"/>
            <c:extLst>
              <c:ext xmlns:c16="http://schemas.microsoft.com/office/drawing/2014/chart" uri="{C3380CC4-5D6E-409C-BE32-E72D297353CC}">
                <c16:uniqueId val="{00000004-EC4A-409D-BCEB-235B650E41AD}"/>
              </c:ext>
            </c:extLst>
          </c:dPt>
          <c:dPt>
            <c:idx val="3"/>
            <c:marker>
              <c:symbol val="circle"/>
              <c:size val="17"/>
              <c:spPr>
                <a:solidFill>
                  <a:schemeClr val="accent1"/>
                </a:solidFill>
                <a:ln>
                  <a:noFill/>
                </a:ln>
                <a:effectLst/>
              </c:spPr>
            </c:marker>
            <c:bubble3D val="0"/>
            <c:extLst>
              <c:ext xmlns:c16="http://schemas.microsoft.com/office/drawing/2014/chart" uri="{C3380CC4-5D6E-409C-BE32-E72D297353CC}">
                <c16:uniqueId val="{00000005-EC4A-409D-BCEB-235B650E41AD}"/>
              </c:ext>
            </c:extLst>
          </c:dPt>
          <c:dPt>
            <c:idx val="4"/>
            <c:marker>
              <c:symbol val="circle"/>
              <c:size val="17"/>
              <c:spPr>
                <a:solidFill>
                  <a:schemeClr val="accent1"/>
                </a:solidFill>
                <a:ln>
                  <a:noFill/>
                </a:ln>
                <a:effectLst/>
              </c:spPr>
            </c:marker>
            <c:bubble3D val="0"/>
            <c:extLst>
              <c:ext xmlns:c16="http://schemas.microsoft.com/office/drawing/2014/chart" uri="{C3380CC4-5D6E-409C-BE32-E72D297353CC}">
                <c16:uniqueId val="{00000006-EC4A-409D-BCEB-235B650E41AD}"/>
              </c:ext>
            </c:extLst>
          </c:dPt>
          <c:dPt>
            <c:idx val="5"/>
            <c:marker>
              <c:symbol val="circle"/>
              <c:size val="17"/>
              <c:spPr>
                <a:solidFill>
                  <a:schemeClr val="accent1"/>
                </a:solidFill>
                <a:ln>
                  <a:noFill/>
                </a:ln>
                <a:effectLst/>
              </c:spPr>
            </c:marker>
            <c:bubble3D val="0"/>
            <c:extLst>
              <c:ext xmlns:c16="http://schemas.microsoft.com/office/drawing/2014/chart" uri="{C3380CC4-5D6E-409C-BE32-E72D297353CC}">
                <c16:uniqueId val="{00000007-EC4A-409D-BCEB-235B650E41AD}"/>
              </c:ext>
            </c:extLst>
          </c:dPt>
          <c:dLbls>
            <c:dLbl>
              <c:idx val="0"/>
              <c:layout>
                <c:manualLayout>
                  <c:x val="1.7507906234594004E-2"/>
                  <c:y val="-9.07521218432797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4A-409D-BCEB-235B650E41AD}"/>
                </c:ext>
              </c:extLst>
            </c:dLbl>
            <c:dLbl>
              <c:idx val="1"/>
              <c:layout>
                <c:manualLayout>
                  <c:x val="-0.10337794735005271"/>
                  <c:y val="0.2244920908754815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4A-409D-BCEB-235B650E41AD}"/>
                </c:ext>
              </c:extLst>
            </c:dLbl>
            <c:dLbl>
              <c:idx val="2"/>
              <c:layout>
                <c:manualLayout>
                  <c:x val="-0.12119020475447025"/>
                  <c:y val="-0.1910570986174311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4A-409D-BCEB-235B650E41AD}"/>
                </c:ext>
              </c:extLst>
            </c:dLbl>
            <c:dLbl>
              <c:idx val="3"/>
              <c:layout>
                <c:manualLayout>
                  <c:x val="-0.10040923778264979"/>
                  <c:y val="0.2674799380644034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4A-409D-BCEB-235B650E41AD}"/>
                </c:ext>
              </c:extLst>
            </c:dLbl>
            <c:dLbl>
              <c:idx val="4"/>
              <c:layout>
                <c:manualLayout>
                  <c:x val="-0.14790859086109642"/>
                  <c:y val="-0.2101628084791742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C4A-409D-BCEB-235B650E41AD}"/>
                </c:ext>
              </c:extLst>
            </c:dLbl>
            <c:dLbl>
              <c:idx val="5"/>
              <c:layout>
                <c:manualLayout>
                  <c:x val="-5.005010573982463E-2"/>
                  <c:y val="0.2674799380644035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C4A-409D-BCEB-235B650E41A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Pivotchart!$A$13:$A$19</c:f>
              <c:strCache>
                <c:ptCount val="6"/>
                <c:pt idx="0">
                  <c:v>Jan</c:v>
                </c:pt>
                <c:pt idx="1">
                  <c:v>Feb</c:v>
                </c:pt>
                <c:pt idx="2">
                  <c:v>Mar</c:v>
                </c:pt>
                <c:pt idx="3">
                  <c:v>Apr</c:v>
                </c:pt>
                <c:pt idx="4">
                  <c:v>May</c:v>
                </c:pt>
                <c:pt idx="5">
                  <c:v>Jun</c:v>
                </c:pt>
              </c:strCache>
            </c:strRef>
          </c:cat>
          <c:val>
            <c:numRef>
              <c:f>Pivotchart!$B$13:$B$19</c:f>
              <c:numCache>
                <c:formatCode>"$"#,##0.00</c:formatCode>
                <c:ptCount val="6"/>
                <c:pt idx="0">
                  <c:v>38121.719999999994</c:v>
                </c:pt>
                <c:pt idx="1">
                  <c:v>36272.57</c:v>
                </c:pt>
                <c:pt idx="2">
                  <c:v>52091.569999999963</c:v>
                </c:pt>
                <c:pt idx="3">
                  <c:v>37290.869999999995</c:v>
                </c:pt>
                <c:pt idx="4">
                  <c:v>33711.56</c:v>
                </c:pt>
                <c:pt idx="5">
                  <c:v>51826.359999999993</c:v>
                </c:pt>
              </c:numCache>
            </c:numRef>
          </c:val>
          <c:smooth val="0"/>
          <c:extLst>
            <c:ext xmlns:c16="http://schemas.microsoft.com/office/drawing/2014/chart" uri="{C3380CC4-5D6E-409C-BE32-E72D297353CC}">
              <c16:uniqueId val="{00000001-EC4A-409D-BCEB-235B650E41AD}"/>
            </c:ext>
          </c:extLst>
        </c:ser>
        <c:dLbls>
          <c:dLblPos val="ctr"/>
          <c:showLegendKey val="0"/>
          <c:showVal val="1"/>
          <c:showCatName val="0"/>
          <c:showSerName val="0"/>
          <c:showPercent val="0"/>
          <c:showBubbleSize val="0"/>
        </c:dLbls>
        <c:marker val="1"/>
        <c:smooth val="0"/>
        <c:axId val="870777119"/>
        <c:axId val="870775455"/>
      </c:lineChart>
      <c:catAx>
        <c:axId val="8707771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70775455"/>
        <c:crosses val="autoZero"/>
        <c:auto val="1"/>
        <c:lblAlgn val="ctr"/>
        <c:lblOffset val="100"/>
        <c:noMultiLvlLbl val="0"/>
      </c:catAx>
      <c:valAx>
        <c:axId val="8707754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870777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[jubril michael assessment DA.2025.TC5.234.xlsx]Pivotchart!PivotTable17</c:name>
    <c:fmtId val="11"/>
  </c:pivotSource>
  <c:chart>
    <c:autoTitleDeleted val="1"/>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Pivotchart!$E$3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D659-45FF-A671-6D7FC048C28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D659-45FF-A671-6D7FC048C28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D659-45FF-A671-6D7FC048C28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D659-45FF-A671-6D7FC048C28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D659-45FF-A671-6D7FC048C28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Pivotchart!$D$4:$D$9</c:f>
              <c:strCache>
                <c:ptCount val="5"/>
                <c:pt idx="0">
                  <c:v>Beauty</c:v>
                </c:pt>
                <c:pt idx="1">
                  <c:v>Clothing</c:v>
                </c:pt>
                <c:pt idx="2">
                  <c:v>Electronics</c:v>
                </c:pt>
                <c:pt idx="3">
                  <c:v>Home</c:v>
                </c:pt>
                <c:pt idx="4">
                  <c:v>Sports</c:v>
                </c:pt>
              </c:strCache>
            </c:strRef>
          </c:cat>
          <c:val>
            <c:numRef>
              <c:f>Pivotchart!$E$4:$E$9</c:f>
              <c:numCache>
                <c:formatCode>0.00%</c:formatCode>
                <c:ptCount val="5"/>
                <c:pt idx="0">
                  <c:v>0.19166666666666668</c:v>
                </c:pt>
                <c:pt idx="1">
                  <c:v>0.18333333333333332</c:v>
                </c:pt>
                <c:pt idx="2">
                  <c:v>0.25277777777777777</c:v>
                </c:pt>
                <c:pt idx="3">
                  <c:v>0.15</c:v>
                </c:pt>
                <c:pt idx="4">
                  <c:v>0.22222222222222221</c:v>
                </c:pt>
              </c:numCache>
            </c:numRef>
          </c:val>
          <c:extLst>
            <c:ext xmlns:c16="http://schemas.microsoft.com/office/drawing/2014/chart" uri="{C3380CC4-5D6E-409C-BE32-E72D297353CC}">
              <c16:uniqueId val="{00000010-D659-45FF-A671-6D7FC048C28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[jubril michael assessment DA.2025.TC5.234.xlsx]Pivotchart!PivotTable13</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8.9597556173743417E-2"/>
              <c:y val="-1.336393827193404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41679D2-4276-45E9-89DB-D698250A3150}"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399389043435854E-2"/>
              <c:y val="-0.173731197535142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1.679954178257689E-2"/>
              <c:y val="0.155912613172563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5199312673865337E-2"/>
              <c:y val="0.33855310288899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599465413006372E-2"/>
              <c:y val="-0.120275444447406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Pivotchart!$E$24</c:f>
              <c:strCache>
                <c:ptCount val="1"/>
                <c:pt idx="0">
                  <c:v>Sum of SalesAmount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6F81-4A58-8F9B-D21C0966619F}"/>
              </c:ext>
            </c:extLst>
          </c:dPt>
          <c:dPt>
            <c:idx val="3"/>
            <c:invertIfNegative val="0"/>
            <c:bubble3D val="0"/>
            <c:extLst>
              <c:ext xmlns:c16="http://schemas.microsoft.com/office/drawing/2014/chart" uri="{C3380CC4-5D6E-409C-BE32-E72D297353CC}">
                <c16:uniqueId val="{00000004-4142-42C3-91BD-C660B4E95EBB}"/>
              </c:ext>
            </c:extLst>
          </c:dPt>
          <c:dLbls>
            <c:dLbl>
              <c:idx val="0"/>
              <c:layout>
                <c:manualLayout>
                  <c:x val="1.9599465413006372E-2"/>
                  <c:y val="-0.120275444447406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81-4A58-8F9B-D21C0966619F}"/>
                </c:ext>
              </c:extLst>
            </c:dLbl>
            <c:dLbl>
              <c:idx val="3"/>
              <c:layout>
                <c:manualLayout>
                  <c:x val="2.2399389043435854E-2"/>
                  <c:y val="-0.173731197535142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142-42C3-91BD-C660B4E95E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Pivotchart!$D$25:$D$30</c:f>
              <c:strCache>
                <c:ptCount val="5"/>
                <c:pt idx="0">
                  <c:v>Beauty</c:v>
                </c:pt>
                <c:pt idx="1">
                  <c:v>Clothing</c:v>
                </c:pt>
                <c:pt idx="2">
                  <c:v>Electronics</c:v>
                </c:pt>
                <c:pt idx="3">
                  <c:v>Home</c:v>
                </c:pt>
                <c:pt idx="4">
                  <c:v>Sports</c:v>
                </c:pt>
              </c:strCache>
            </c:strRef>
          </c:cat>
          <c:val>
            <c:numRef>
              <c:f>Pivotchart!$E$25:$E$30</c:f>
              <c:numCache>
                <c:formatCode>"$"#,##0.00</c:formatCode>
                <c:ptCount val="5"/>
                <c:pt idx="0">
                  <c:v>49960.63</c:v>
                </c:pt>
                <c:pt idx="1">
                  <c:v>37792.22</c:v>
                </c:pt>
                <c:pt idx="2">
                  <c:v>74267.19</c:v>
                </c:pt>
                <c:pt idx="3">
                  <c:v>42451.15</c:v>
                </c:pt>
                <c:pt idx="4">
                  <c:v>44843.46</c:v>
                </c:pt>
              </c:numCache>
            </c:numRef>
          </c:val>
          <c:extLst>
            <c:ext xmlns:c16="http://schemas.microsoft.com/office/drawing/2014/chart" uri="{C3380CC4-5D6E-409C-BE32-E72D297353CC}">
              <c16:uniqueId val="{00000000-4142-42C3-91BD-C660B4E95EBB}"/>
            </c:ext>
          </c:extLst>
        </c:ser>
        <c:dLbls>
          <c:showLegendKey val="0"/>
          <c:showVal val="1"/>
          <c:showCatName val="0"/>
          <c:showSerName val="0"/>
          <c:showPercent val="0"/>
          <c:showBubbleSize val="0"/>
        </c:dLbls>
        <c:gapWidth val="219"/>
        <c:overlap val="-27"/>
        <c:axId val="1145493327"/>
        <c:axId val="1145504143"/>
      </c:barChart>
      <c:lineChart>
        <c:grouping val="standard"/>
        <c:varyColors val="0"/>
        <c:ser>
          <c:idx val="1"/>
          <c:order val="1"/>
          <c:tx>
            <c:strRef>
              <c:f>Pivotchart!$F$24</c:f>
              <c:strCache>
                <c:ptCount val="1"/>
                <c:pt idx="0">
                  <c:v>Count of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A-4142-42C3-91BD-C660B4E95EBB}"/>
              </c:ext>
            </c:extLst>
          </c:dPt>
          <c:dPt>
            <c:idx val="2"/>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4142-42C3-91BD-C660B4E95EBB}"/>
              </c:ext>
            </c:extLst>
          </c:dPt>
          <c:dPt>
            <c:idx val="3"/>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4142-42C3-91BD-C660B4E95EBB}"/>
              </c:ext>
            </c:extLst>
          </c:dPt>
          <c:dLbls>
            <c:dLbl>
              <c:idx val="0"/>
              <c:layout>
                <c:manualLayout>
                  <c:x val="2.5199312673865337E-2"/>
                  <c:y val="0.33855310288899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142-42C3-91BD-C660B4E95EBB}"/>
                </c:ext>
              </c:extLst>
            </c:dLbl>
            <c:dLbl>
              <c:idx val="2"/>
              <c:layout>
                <c:manualLayout>
                  <c:x val="8.9597556173743417E-2"/>
                  <c:y val="-1.3363938271934045E-2"/>
                </c:manualLayout>
              </c:layout>
              <c:tx>
                <c:rich>
                  <a:bodyPr/>
                  <a:lstStyle/>
                  <a:p>
                    <a:fld id="{641679D2-4276-45E9-89DB-D698250A3150}"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142-42C3-91BD-C660B4E95EBB}"/>
                </c:ext>
              </c:extLst>
            </c:dLbl>
            <c:dLbl>
              <c:idx val="3"/>
              <c:layout>
                <c:manualLayout>
                  <c:x val="1.679954178257689E-2"/>
                  <c:y val="0.155912613172563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142-42C3-91BD-C660B4E95E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Pivotchart!$D$25:$D$30</c:f>
              <c:strCache>
                <c:ptCount val="5"/>
                <c:pt idx="0">
                  <c:v>Beauty</c:v>
                </c:pt>
                <c:pt idx="1">
                  <c:v>Clothing</c:v>
                </c:pt>
                <c:pt idx="2">
                  <c:v>Electronics</c:v>
                </c:pt>
                <c:pt idx="3">
                  <c:v>Home</c:v>
                </c:pt>
                <c:pt idx="4">
                  <c:v>Sports</c:v>
                </c:pt>
              </c:strCache>
            </c:strRef>
          </c:cat>
          <c:val>
            <c:numRef>
              <c:f>Pivotchart!$F$25:$F$30</c:f>
              <c:numCache>
                <c:formatCode>0.00</c:formatCode>
                <c:ptCount val="5"/>
                <c:pt idx="0">
                  <c:v>69</c:v>
                </c:pt>
                <c:pt idx="1">
                  <c:v>66</c:v>
                </c:pt>
                <c:pt idx="2">
                  <c:v>91</c:v>
                </c:pt>
                <c:pt idx="3">
                  <c:v>54</c:v>
                </c:pt>
                <c:pt idx="4">
                  <c:v>80</c:v>
                </c:pt>
              </c:numCache>
            </c:numRef>
          </c:val>
          <c:smooth val="0"/>
          <c:extLst>
            <c:ext xmlns:c16="http://schemas.microsoft.com/office/drawing/2014/chart" uri="{C3380CC4-5D6E-409C-BE32-E72D297353CC}">
              <c16:uniqueId val="{00000001-4142-42C3-91BD-C660B4E95EBB}"/>
            </c:ext>
          </c:extLst>
        </c:ser>
        <c:dLbls>
          <c:showLegendKey val="0"/>
          <c:showVal val="1"/>
          <c:showCatName val="0"/>
          <c:showSerName val="0"/>
          <c:showPercent val="0"/>
          <c:showBubbleSize val="0"/>
        </c:dLbls>
        <c:marker val="1"/>
        <c:smooth val="0"/>
        <c:axId val="1145504559"/>
        <c:axId val="1145501231"/>
      </c:lineChart>
      <c:catAx>
        <c:axId val="11454933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5504143"/>
        <c:crosses val="autoZero"/>
        <c:auto val="1"/>
        <c:lblAlgn val="ctr"/>
        <c:lblOffset val="100"/>
        <c:noMultiLvlLbl val="0"/>
      </c:catAx>
      <c:valAx>
        <c:axId val="1145504143"/>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5493327"/>
        <c:crosses val="autoZero"/>
        <c:crossBetween val="between"/>
      </c:valAx>
      <c:valAx>
        <c:axId val="1145501231"/>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5504559"/>
        <c:crosses val="max"/>
        <c:crossBetween val="between"/>
      </c:valAx>
      <c:catAx>
        <c:axId val="1145504559"/>
        <c:scaling>
          <c:orientation val="minMax"/>
        </c:scaling>
        <c:delete val="1"/>
        <c:axPos val="t"/>
        <c:numFmt formatCode="General" sourceLinked="1"/>
        <c:majorTickMark val="none"/>
        <c:minorTickMark val="none"/>
        <c:tickLblPos val="nextTo"/>
        <c:crossAx val="1145501231"/>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8</xdr:col>
      <xdr:colOff>270386</xdr:colOff>
      <xdr:row>1</xdr:row>
      <xdr:rowOff>115797</xdr:rowOff>
    </xdr:from>
    <xdr:ext cx="1844254" cy="2381810"/>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C74CFFF7-E62F-4E91-A809-9F225014133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72077" y="293223"/>
              <a:ext cx="1844254" cy="2381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8</xdr:col>
      <xdr:colOff>390945</xdr:colOff>
      <xdr:row>15</xdr:row>
      <xdr:rowOff>93576</xdr:rowOff>
    </xdr:from>
    <xdr:ext cx="1845032" cy="2379992"/>
    <mc:AlternateContent xmlns:mc="http://schemas.openxmlformats.org/markup-compatibility/2006" xmlns:a14="http://schemas.microsoft.com/office/drawing/2010/main">
      <mc:Choice Requires="a14">
        <xdr:graphicFrame macro="">
          <xdr:nvGraphicFramePr>
            <xdr:cNvPr id="6" name="OrderDate (Month)">
              <a:extLst>
                <a:ext uri="{FF2B5EF4-FFF2-40B4-BE49-F238E27FC236}">
                  <a16:creationId xmlns:a16="http://schemas.microsoft.com/office/drawing/2014/main" id="{0C386B3C-9C85-4D76-90EC-6D219164629F}"/>
                </a:ext>
              </a:extLst>
            </xdr:cNvPr>
            <xdr:cNvGraphicFramePr/>
          </xdr:nvGraphicFramePr>
          <xdr:xfrm>
            <a:off x="0" y="0"/>
            <a:ext cx="0" cy="0"/>
          </xdr:xfrm>
          <a:graphic>
            <a:graphicData uri="http://schemas.microsoft.com/office/drawing/2010/slicer">
              <sle:slicer xmlns:sle="http://schemas.microsoft.com/office/drawing/2010/slicer" name="OrderDate (Month)"/>
            </a:graphicData>
          </a:graphic>
        </xdr:graphicFrame>
      </mc:Choice>
      <mc:Fallback xmlns="">
        <xdr:sp macro="" textlink="">
          <xdr:nvSpPr>
            <xdr:cNvPr id="0" name=""/>
            <xdr:cNvSpPr>
              <a:spLocks noTextEdit="1"/>
            </xdr:cNvSpPr>
          </xdr:nvSpPr>
          <xdr:spPr>
            <a:xfrm>
              <a:off x="8692636" y="2754973"/>
              <a:ext cx="1845032" cy="23799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5</xdr:col>
      <xdr:colOff>505860</xdr:colOff>
      <xdr:row>1</xdr:row>
      <xdr:rowOff>111604</xdr:rowOff>
    </xdr:from>
    <xdr:ext cx="1845032" cy="2376364"/>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25CE2CF2-CF71-4393-90FA-5B4E4306993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547698" y="289030"/>
              <a:ext cx="1845032" cy="2376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2</xdr:col>
      <xdr:colOff>79375</xdr:colOff>
      <xdr:row>10</xdr:row>
      <xdr:rowOff>156868</xdr:rowOff>
    </xdr:from>
    <xdr:to>
      <xdr:col>8</xdr:col>
      <xdr:colOff>129154</xdr:colOff>
      <xdr:row>25</xdr:row>
      <xdr:rowOff>94294</xdr:rowOff>
    </xdr:to>
    <xdr:graphicFrame macro="">
      <xdr:nvGraphicFramePr>
        <xdr:cNvPr id="2" name="Chart 1">
          <a:extLst>
            <a:ext uri="{FF2B5EF4-FFF2-40B4-BE49-F238E27FC236}">
              <a16:creationId xmlns:a16="http://schemas.microsoft.com/office/drawing/2014/main" id="{7D9A8553-051F-4155-A6E0-BEF61F613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558362</xdr:colOff>
      <xdr:row>10</xdr:row>
      <xdr:rowOff>157079</xdr:rowOff>
    </xdr:from>
    <xdr:to>
      <xdr:col>15</xdr:col>
      <xdr:colOff>466329</xdr:colOff>
      <xdr:row>25</xdr:row>
      <xdr:rowOff>146315</xdr:rowOff>
    </xdr:to>
    <xdr:graphicFrame macro="">
      <xdr:nvGraphicFramePr>
        <xdr:cNvPr id="3" name="Chart 2">
          <a:extLst>
            <a:ext uri="{FF2B5EF4-FFF2-40B4-BE49-F238E27FC236}">
              <a16:creationId xmlns:a16="http://schemas.microsoft.com/office/drawing/2014/main" id="{B4969F0F-ECF9-4EA7-86AF-13610A88C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70556</xdr:colOff>
      <xdr:row>31</xdr:row>
      <xdr:rowOff>152771</xdr:rowOff>
    </xdr:from>
    <xdr:to>
      <xdr:col>8</xdr:col>
      <xdr:colOff>76909</xdr:colOff>
      <xdr:row>48</xdr:row>
      <xdr:rowOff>-1</xdr:rowOff>
    </xdr:to>
    <xdr:graphicFrame macro="">
      <xdr:nvGraphicFramePr>
        <xdr:cNvPr id="5" name="Chart 4">
          <a:extLst>
            <a:ext uri="{FF2B5EF4-FFF2-40B4-BE49-F238E27FC236}">
              <a16:creationId xmlns:a16="http://schemas.microsoft.com/office/drawing/2014/main" id="{D5F67E92-2325-40D4-87A1-D3875E4E2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350122</xdr:colOff>
      <xdr:row>10</xdr:row>
      <xdr:rowOff>113346</xdr:rowOff>
    </xdr:from>
    <xdr:to>
      <xdr:col>23</xdr:col>
      <xdr:colOff>39688</xdr:colOff>
      <xdr:row>25</xdr:row>
      <xdr:rowOff>160543</xdr:rowOff>
    </xdr:to>
    <xdr:graphicFrame macro="">
      <xdr:nvGraphicFramePr>
        <xdr:cNvPr id="6" name="Chart 5">
          <a:extLst>
            <a:ext uri="{FF2B5EF4-FFF2-40B4-BE49-F238E27FC236}">
              <a16:creationId xmlns:a16="http://schemas.microsoft.com/office/drawing/2014/main" id="{C0A27B32-0EB5-4475-A421-FB96F6ADB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171348</xdr:colOff>
      <xdr:row>7</xdr:row>
      <xdr:rowOff>58723</xdr:rowOff>
    </xdr:from>
    <xdr:to>
      <xdr:col>8</xdr:col>
      <xdr:colOff>151190</xdr:colOff>
      <xdr:row>10</xdr:row>
      <xdr:rowOff>80635</xdr:rowOff>
    </xdr:to>
    <xdr:sp macro="" textlink="">
      <xdr:nvSpPr>
        <xdr:cNvPr id="8" name="TextBox 7">
          <a:extLst>
            <a:ext uri="{FF2B5EF4-FFF2-40B4-BE49-F238E27FC236}">
              <a16:creationId xmlns:a16="http://schemas.microsoft.com/office/drawing/2014/main" id="{7F554AA0-407F-4671-BD1A-3A71CDF6DC20}"/>
            </a:ext>
          </a:extLst>
        </xdr:cNvPr>
        <xdr:cNvSpPr txBox="1"/>
      </xdr:nvSpPr>
      <xdr:spPr>
        <a:xfrm>
          <a:off x="1501824" y="1328723"/>
          <a:ext cx="3971271" cy="5661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02060"/>
              </a:solidFill>
            </a:rPr>
            <a:t>Total revenue by category</a:t>
          </a:r>
        </a:p>
      </xdr:txBody>
    </xdr:sp>
    <xdr:clientData/>
  </xdr:twoCellAnchor>
  <xdr:twoCellAnchor>
    <xdr:from>
      <xdr:col>8</xdr:col>
      <xdr:colOff>547413</xdr:colOff>
      <xdr:row>7</xdr:row>
      <xdr:rowOff>53396</xdr:rowOff>
    </xdr:from>
    <xdr:to>
      <xdr:col>15</xdr:col>
      <xdr:colOff>486171</xdr:colOff>
      <xdr:row>10</xdr:row>
      <xdr:rowOff>80634</xdr:rowOff>
    </xdr:to>
    <xdr:sp macro="" textlink="">
      <xdr:nvSpPr>
        <xdr:cNvPr id="9" name="TextBox 8">
          <a:extLst>
            <a:ext uri="{FF2B5EF4-FFF2-40B4-BE49-F238E27FC236}">
              <a16:creationId xmlns:a16="http://schemas.microsoft.com/office/drawing/2014/main" id="{400909C6-D886-493B-BECE-F5AF158EE8D8}"/>
            </a:ext>
          </a:extLst>
        </xdr:cNvPr>
        <xdr:cNvSpPr txBox="1"/>
      </xdr:nvSpPr>
      <xdr:spPr>
        <a:xfrm>
          <a:off x="5865538" y="1303552"/>
          <a:ext cx="4592117" cy="563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02060"/>
              </a:solidFill>
            </a:rPr>
            <a:t>Revenue by</a:t>
          </a:r>
          <a:r>
            <a:rPr lang="en-US" sz="2000" b="1" baseline="0">
              <a:solidFill>
                <a:srgbClr val="002060"/>
              </a:solidFill>
            </a:rPr>
            <a:t> </a:t>
          </a:r>
          <a:r>
            <a:rPr lang="en-US" sz="2000" b="1">
              <a:solidFill>
                <a:srgbClr val="002060"/>
              </a:solidFill>
            </a:rPr>
            <a:t>country</a:t>
          </a:r>
        </a:p>
      </xdr:txBody>
    </xdr:sp>
    <xdr:clientData/>
  </xdr:twoCellAnchor>
  <xdr:twoCellAnchor>
    <xdr:from>
      <xdr:col>16</xdr:col>
      <xdr:colOff>355777</xdr:colOff>
      <xdr:row>7</xdr:row>
      <xdr:rowOff>56300</xdr:rowOff>
    </xdr:from>
    <xdr:to>
      <xdr:col>23</xdr:col>
      <xdr:colOff>49610</xdr:colOff>
      <xdr:row>10</xdr:row>
      <xdr:rowOff>40317</xdr:rowOff>
    </xdr:to>
    <xdr:sp macro="" textlink="">
      <xdr:nvSpPr>
        <xdr:cNvPr id="10" name="TextBox 9">
          <a:extLst>
            <a:ext uri="{FF2B5EF4-FFF2-40B4-BE49-F238E27FC236}">
              <a16:creationId xmlns:a16="http://schemas.microsoft.com/office/drawing/2014/main" id="{62BF189D-7B94-413A-8A62-D7E515242973}"/>
            </a:ext>
          </a:extLst>
        </xdr:cNvPr>
        <xdr:cNvSpPr txBox="1"/>
      </xdr:nvSpPr>
      <xdr:spPr>
        <a:xfrm>
          <a:off x="10992027" y="1306456"/>
          <a:ext cx="4347192" cy="5197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02060"/>
              </a:solidFill>
            </a:rPr>
            <a:t>Monthly revenue</a:t>
          </a:r>
          <a:r>
            <a:rPr lang="en-US" sz="2000" b="1" baseline="0">
              <a:solidFill>
                <a:srgbClr val="002060"/>
              </a:solidFill>
            </a:rPr>
            <a:t> trend</a:t>
          </a:r>
        </a:p>
      </xdr:txBody>
    </xdr:sp>
    <xdr:clientData/>
  </xdr:twoCellAnchor>
  <xdr:twoCellAnchor>
    <xdr:from>
      <xdr:col>2</xdr:col>
      <xdr:colOff>70556</xdr:colOff>
      <xdr:row>28</xdr:row>
      <xdr:rowOff>0</xdr:rowOff>
    </xdr:from>
    <xdr:to>
      <xdr:col>8</xdr:col>
      <xdr:colOff>92604</xdr:colOff>
      <xdr:row>31</xdr:row>
      <xdr:rowOff>90715</xdr:rowOff>
    </xdr:to>
    <xdr:sp macro="" textlink="">
      <xdr:nvSpPr>
        <xdr:cNvPr id="11" name="TextBox 10">
          <a:extLst>
            <a:ext uri="{FF2B5EF4-FFF2-40B4-BE49-F238E27FC236}">
              <a16:creationId xmlns:a16="http://schemas.microsoft.com/office/drawing/2014/main" id="{7F0047F6-F804-4A3A-A021-8125BA92E7E2}"/>
            </a:ext>
          </a:extLst>
        </xdr:cNvPr>
        <xdr:cNvSpPr txBox="1"/>
      </xdr:nvSpPr>
      <xdr:spPr>
        <a:xfrm>
          <a:off x="1397000" y="5136444"/>
          <a:ext cx="4001382" cy="6410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02060"/>
              </a:solidFill>
            </a:rPr>
            <a:t>Top 5 product by sales</a:t>
          </a:r>
        </a:p>
        <a:p>
          <a:pPr algn="ctr"/>
          <a:endParaRPr lang="en-US" sz="2000" b="1">
            <a:solidFill>
              <a:srgbClr val="002060"/>
            </a:solidFill>
          </a:endParaRPr>
        </a:p>
      </xdr:txBody>
    </xdr:sp>
    <xdr:clientData/>
  </xdr:twoCellAnchor>
  <xdr:twoCellAnchor>
    <xdr:from>
      <xdr:col>8</xdr:col>
      <xdr:colOff>547414</xdr:colOff>
      <xdr:row>27</xdr:row>
      <xdr:rowOff>164225</xdr:rowOff>
    </xdr:from>
    <xdr:to>
      <xdr:col>15</xdr:col>
      <xdr:colOff>470776</xdr:colOff>
      <xdr:row>31</xdr:row>
      <xdr:rowOff>110005</xdr:rowOff>
    </xdr:to>
    <xdr:sp macro="" textlink="">
      <xdr:nvSpPr>
        <xdr:cNvPr id="12" name="TextBox 11">
          <a:extLst>
            <a:ext uri="{FF2B5EF4-FFF2-40B4-BE49-F238E27FC236}">
              <a16:creationId xmlns:a16="http://schemas.microsoft.com/office/drawing/2014/main" id="{3261AD8A-57C9-4C93-8A06-AC79C8ECCDEE}"/>
            </a:ext>
          </a:extLst>
        </xdr:cNvPr>
        <xdr:cNvSpPr txBox="1"/>
      </xdr:nvSpPr>
      <xdr:spPr>
        <a:xfrm>
          <a:off x="5802586" y="4893880"/>
          <a:ext cx="4521638" cy="6464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02060"/>
              </a:solidFill>
            </a:rPr>
            <a:t>Sales amount VS Quantity sold</a:t>
          </a:r>
        </a:p>
        <a:p>
          <a:pPr algn="ctr"/>
          <a:r>
            <a:rPr lang="en-US" sz="1200" b="1">
              <a:solidFill>
                <a:srgbClr val="002060"/>
              </a:solidFill>
            </a:rPr>
            <a:t>(product category)</a:t>
          </a:r>
        </a:p>
      </xdr:txBody>
    </xdr:sp>
    <xdr:clientData/>
  </xdr:twoCellAnchor>
  <xdr:twoCellAnchor editAs="oneCell">
    <xdr:from>
      <xdr:col>24</xdr:col>
      <xdr:colOff>447589</xdr:colOff>
      <xdr:row>36</xdr:row>
      <xdr:rowOff>32247</xdr:rowOff>
    </xdr:from>
    <xdr:to>
      <xdr:col>27</xdr:col>
      <xdr:colOff>313661</xdr:colOff>
      <xdr:row>50</xdr:row>
      <xdr:rowOff>47153</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0FD3B20E-6740-4F32-B3DF-FB6A9DF64C7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262683" y="6502058"/>
              <a:ext cx="1842959" cy="2530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444981</xdr:colOff>
      <xdr:row>20</xdr:row>
      <xdr:rowOff>173933</xdr:rowOff>
    </xdr:from>
    <xdr:to>
      <xdr:col>27</xdr:col>
      <xdr:colOff>311054</xdr:colOff>
      <xdr:row>35</xdr:row>
      <xdr:rowOff>10247</xdr:rowOff>
    </xdr:to>
    <mc:AlternateContent xmlns:mc="http://schemas.openxmlformats.org/markup-compatibility/2006" xmlns:a14="http://schemas.microsoft.com/office/drawing/2010/main">
      <mc:Choice Requires="a14">
        <xdr:graphicFrame macro="">
          <xdr:nvGraphicFramePr>
            <xdr:cNvPr id="14" name="OrderDate (Month) 1">
              <a:extLst>
                <a:ext uri="{FF2B5EF4-FFF2-40B4-BE49-F238E27FC236}">
                  <a16:creationId xmlns:a16="http://schemas.microsoft.com/office/drawing/2014/main" id="{315404B0-1ABC-42C8-8990-4452647D0F90}"/>
                </a:ext>
              </a:extLst>
            </xdr:cNvPr>
            <xdr:cNvGraphicFramePr/>
          </xdr:nvGraphicFramePr>
          <xdr:xfrm>
            <a:off x="0" y="0"/>
            <a:ext cx="0" cy="0"/>
          </xdr:xfrm>
          <a:graphic>
            <a:graphicData uri="http://schemas.microsoft.com/office/drawing/2010/slicer">
              <sle:slicer xmlns:sle="http://schemas.microsoft.com/office/drawing/2010/slicer" name="OrderDate (Month) 1"/>
            </a:graphicData>
          </a:graphic>
        </xdr:graphicFrame>
      </mc:Choice>
      <mc:Fallback xmlns="">
        <xdr:sp macro="" textlink="">
          <xdr:nvSpPr>
            <xdr:cNvPr id="0" name=""/>
            <xdr:cNvSpPr>
              <a:spLocks noTextEdit="1"/>
            </xdr:cNvSpPr>
          </xdr:nvSpPr>
          <xdr:spPr>
            <a:xfrm>
              <a:off x="16410695" y="3802504"/>
              <a:ext cx="1861788" cy="25577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442718</xdr:colOff>
      <xdr:row>5</xdr:row>
      <xdr:rowOff>137704</xdr:rowOff>
    </xdr:from>
    <xdr:to>
      <xdr:col>27</xdr:col>
      <xdr:colOff>308791</xdr:colOff>
      <xdr:row>19</xdr:row>
      <xdr:rowOff>152613</xdr:rowOff>
    </xdr:to>
    <mc:AlternateContent xmlns:mc="http://schemas.openxmlformats.org/markup-compatibility/2006" xmlns:a14="http://schemas.microsoft.com/office/drawing/2010/main">
      <mc:Choice Requires="a14">
        <xdr:graphicFrame macro="">
          <xdr:nvGraphicFramePr>
            <xdr:cNvPr id="15" name="Country 1">
              <a:extLst>
                <a:ext uri="{FF2B5EF4-FFF2-40B4-BE49-F238E27FC236}">
                  <a16:creationId xmlns:a16="http://schemas.microsoft.com/office/drawing/2014/main" id="{209C234D-8340-4375-BD1A-37A27E277D1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6257812" y="1036289"/>
              <a:ext cx="1842960" cy="25309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320981</xdr:colOff>
      <xdr:row>32</xdr:row>
      <xdr:rowOff>423</xdr:rowOff>
    </xdr:from>
    <xdr:to>
      <xdr:col>23</xdr:col>
      <xdr:colOff>40318</xdr:colOff>
      <xdr:row>47</xdr:row>
      <xdr:rowOff>142328</xdr:rowOff>
    </xdr:to>
    <xdr:graphicFrame macro="">
      <xdr:nvGraphicFramePr>
        <xdr:cNvPr id="16" name="Chart 15">
          <a:extLst>
            <a:ext uri="{FF2B5EF4-FFF2-40B4-BE49-F238E27FC236}">
              <a16:creationId xmlns:a16="http://schemas.microsoft.com/office/drawing/2014/main" id="{2259FD84-B856-4638-899D-FF37D7167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322538</xdr:colOff>
      <xdr:row>28</xdr:row>
      <xdr:rowOff>0</xdr:rowOff>
    </xdr:from>
    <xdr:to>
      <xdr:col>23</xdr:col>
      <xdr:colOff>35943</xdr:colOff>
      <xdr:row>31</xdr:row>
      <xdr:rowOff>100795</xdr:rowOff>
    </xdr:to>
    <xdr:sp macro="" textlink="">
      <xdr:nvSpPr>
        <xdr:cNvPr id="17" name="TextBox 16">
          <a:extLst>
            <a:ext uri="{FF2B5EF4-FFF2-40B4-BE49-F238E27FC236}">
              <a16:creationId xmlns:a16="http://schemas.microsoft.com/office/drawing/2014/main" id="{908B664F-07A2-4831-AFD9-23C43885C81D}"/>
            </a:ext>
          </a:extLst>
        </xdr:cNvPr>
        <xdr:cNvSpPr txBox="1"/>
      </xdr:nvSpPr>
      <xdr:spPr>
        <a:xfrm>
          <a:off x="10934094" y="5136444"/>
          <a:ext cx="4355960" cy="6511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baseline="0">
              <a:solidFill>
                <a:schemeClr val="tx2">
                  <a:lumMod val="90000"/>
                  <a:lumOff val="10000"/>
                </a:schemeClr>
              </a:solidFill>
            </a:rPr>
            <a:t>Sales distribution by category</a:t>
          </a:r>
        </a:p>
      </xdr:txBody>
    </xdr:sp>
    <xdr:clientData/>
  </xdr:twoCellAnchor>
  <xdr:twoCellAnchor>
    <xdr:from>
      <xdr:col>7</xdr:col>
      <xdr:colOff>373944</xdr:colOff>
      <xdr:row>2</xdr:row>
      <xdr:rowOff>119944</xdr:rowOff>
    </xdr:from>
    <xdr:to>
      <xdr:col>17</xdr:col>
      <xdr:colOff>317500</xdr:colOff>
      <xdr:row>6</xdr:row>
      <xdr:rowOff>7056</xdr:rowOff>
    </xdr:to>
    <xdr:sp macro="" textlink="">
      <xdr:nvSpPr>
        <xdr:cNvPr id="18" name="TextBox 17">
          <a:extLst>
            <a:ext uri="{FF2B5EF4-FFF2-40B4-BE49-F238E27FC236}">
              <a16:creationId xmlns:a16="http://schemas.microsoft.com/office/drawing/2014/main" id="{841E0587-55C0-4637-9119-9934EB06981A}"/>
            </a:ext>
          </a:extLst>
        </xdr:cNvPr>
        <xdr:cNvSpPr txBox="1"/>
      </xdr:nvSpPr>
      <xdr:spPr>
        <a:xfrm>
          <a:off x="5016500" y="486833"/>
          <a:ext cx="6575778" cy="620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SALES PERFORMANCE DASHBOARD</a:t>
          </a:r>
        </a:p>
      </xdr:txBody>
    </xdr:sp>
    <xdr:clientData/>
  </xdr:twoCellAnchor>
  <xdr:twoCellAnchor>
    <xdr:from>
      <xdr:col>8</xdr:col>
      <xdr:colOff>535038</xdr:colOff>
      <xdr:row>31</xdr:row>
      <xdr:rowOff>159939</xdr:rowOff>
    </xdr:from>
    <xdr:to>
      <xdr:col>15</xdr:col>
      <xdr:colOff>461246</xdr:colOff>
      <xdr:row>47</xdr:row>
      <xdr:rowOff>125957</xdr:rowOff>
    </xdr:to>
    <xdr:graphicFrame macro="">
      <xdr:nvGraphicFramePr>
        <xdr:cNvPr id="19" name="Chart 18">
          <a:extLst>
            <a:ext uri="{FF2B5EF4-FFF2-40B4-BE49-F238E27FC236}">
              <a16:creationId xmlns:a16="http://schemas.microsoft.com/office/drawing/2014/main" id="{1A59A97F-810C-42CC-B587-50D912B95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8.809068055554" backgroundQuery="1" createdVersion="7" refreshedVersion="7" minRefreshableVersion="3" recordCount="0" supportSubquery="1" supportAdvancedDrill="1" xr:uid="{274893BC-AD00-4D31-BDA9-E2B5E6308C70}">
  <cacheSource type="external" connectionId="1"/>
  <cacheFields count="4">
    <cacheField name="[Table1].[Country].[Country]" caption="Country" numFmtId="0" hierarchy="9" level="1">
      <sharedItems count="4">
        <s v="Canada"/>
        <s v="India"/>
        <s v="UK"/>
        <s v="US"/>
      </sharedItems>
    </cacheField>
    <cacheField name="[Measures].[Sum of Revenue(order)]" caption="Sum of Revenue(order)" numFmtId="0" hierarchy="39" level="32767"/>
    <cacheField name="[Table1].[Category].[Category]" caption="Category" numFmtId="0" hierarchy="7" level="1">
      <sharedItems containsSemiMixedTypes="0" containsNonDate="0" containsString="0"/>
    </cacheField>
    <cacheField name="[Table1].[OrderDate (Month)].[OrderDate (Month)]" caption="OrderDate (Month)" numFmtId="0" hierarchy="11" level="1">
      <sharedItems containsSemiMixedTypes="0" containsNonDate="0" containsString="0"/>
    </cacheField>
  </cacheFields>
  <cacheHierarchies count="4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5" unbalanced="0"/>
    <cacheHierarchy uniqueName="[Table1].[ProductName]" caption="ProductName" attribute="1" defaultMemberUniqueName="[Table1].[ProductName].[All]" allUniqueName="[Table1].[Product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UnitPrice]" caption="UnitPrice" attribute="1" defaultMemberUniqueName="[Table1].[UnitPrice].[All]" allUniqueName="[Table1].[UnitPrice].[All]" dimensionUniqueName="[Table1]" displayFolder="" count="0" memberValueDatatype="5"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Revenue(order)]" caption="Revenue(order)" attribute="1" defaultMemberUniqueName="[Table1].[Revenue(order)].[All]" allUniqueName="[Table1].[Revenue(order)].[All]" dimensionUniqueName="[Table1]" displayFolder="" count="0" memberValueDatatype="5" unbalanced="0"/>
    <cacheHierarchy uniqueName="[Table1].[OrderDate (Month)]" caption="OrderDate (Month)" attribute="1" defaultMemberUniqueName="[Table1].[OrderDate (Month)].[All]" allUniqueName="[Table1].[OrderDate (Month)].[All]" dimensionUniqueName="[Table1]" displayFolder="" count="2" memberValueDatatype="130" unbalanced="0">
      <fieldsUsage count="2">
        <fieldUsage x="-1"/>
        <fieldUsage x="3"/>
      </fieldsUsage>
    </cacheHierarchy>
    <cacheHierarchy uniqueName="[Table2].[CustomerID]" caption="CustomerID" attribute="1" defaultMemberUniqueName="[Table2].[CustomerID].[All]" allUniqueName="[Table2].[CustomerID].[All]" dimensionUniqueName="[Table2]" displayFolder="" count="0" memberValueDatatype="130" unbalanced="0"/>
    <cacheHierarchy uniqueName="[Table2].[CustomerName]" caption="CustomerName" attribute="1" defaultMemberUniqueName="[Table2].[CustomerName].[All]" allUniqueName="[Table2].[CustomerName].[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ignupDate]" caption="SignupDate" attribute="1" time="1" defaultMemberUniqueName="[Table2].[SignupDate].[All]" allUniqueName="[Table2].[SignupDate].[All]" dimensionUniqueName="[Table2]" displayFolder="" count="0" memberValueDatatype="7" unbalanced="0"/>
    <cacheHierarchy uniqueName="[Table3].[ProductID]" caption="ProductID" attribute="1" defaultMemberUniqueName="[Table3].[ProductID].[All]" allUniqueName="[Table3].[ProductID].[All]" dimensionUniqueName="[Table3]" displayFolder="" count="0" memberValueDatatype="130" unbalanced="0"/>
    <cacheHierarchy uniqueName="[Table3].[ProductName]" caption="ProductName" attribute="1" defaultMemberUniqueName="[Table3].[ProductName].[All]" allUniqueName="[Table3].[Product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UnitPrice]" caption="UnitPrice" attribute="1" defaultMemberUniqueName="[Table3].[UnitPrice].[All]" allUniqueName="[Table3].[UnitPrice].[All]" dimensionUniqueName="[Table3]" displayFolder="" count="0" memberValueDatatype="5" unbalanced="0"/>
    <cacheHierarchy uniqueName="[Table8].[Product Category]" caption="Product Category" attribute="1" defaultMemberUniqueName="[Table8].[Product Category].[All]" allUniqueName="[Table8].[Product Category].[All]" dimensionUniqueName="[Table8]" displayFolder="" count="0" memberValueDatatype="130" unbalanced="0"/>
    <cacheHierarchy uniqueName="[Table8].[Revenue]" caption="Revenue" attribute="1" defaultMemberUniqueName="[Table8].[Revenue].[All]" allUniqueName="[Table8].[Revenue].[All]" dimensionUniqueName="[Table8]" displayFolder="" count="0" memberValueDatatype="5"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3]" caption="__XL_Count Table3" measure="1" displayFolder="" measureGroup="Table3"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Count of ProductName]" caption="Count of ProductName" measure="1" displayFolder="" measureGroup="Table3" count="0" hidden="1">
      <extLst>
        <ext xmlns:x15="http://schemas.microsoft.com/office/spreadsheetml/2010/11/main" uri="{B97F6D7D-B522-45F9-BDA1-12C45D357490}">
          <x15:cacheHierarchy aggregatedColumn="18"/>
        </ext>
      </extLst>
    </cacheHierarchy>
    <cacheHierarchy uniqueName="[Measures].[Count of ProductName 2]" caption="Count of ProductName 2" measure="1" displayFolder="" measureGroup="Table1" count="0" hidden="1">
      <extLst>
        <ext xmlns:x15="http://schemas.microsoft.com/office/spreadsheetml/2010/11/main" uri="{B97F6D7D-B522-45F9-BDA1-12C45D357490}">
          <x15:cacheHierarchy aggregatedColumn="6"/>
        </ext>
      </extLst>
    </cacheHierarchy>
    <cacheHierarchy uniqueName="[Measures].[Sum of SalesAmount]" caption="Sum of SalesAmount" measure="1" displayFolder="" measureGroup="Table1" count="0" hidden="1">
      <extLst>
        <ext xmlns:x15="http://schemas.microsoft.com/office/spreadsheetml/2010/11/main" uri="{B97F6D7D-B522-45F9-BDA1-12C45D357490}">
          <x15:cacheHierarchy aggregatedColumn="5"/>
        </ext>
      </extLst>
    </cacheHierarchy>
    <cacheHierarchy uniqueName="[Measures].[Max of SalesAmount]" caption="Max of SalesAmount" measure="1" displayFolder="" measureGroup="Table1"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Table8"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4"/>
        </ext>
      </extLst>
    </cacheHierarchy>
    <cacheHierarchy uniqueName="[Measures].[Max of Quantity]" caption="Max of Quantity" measure="1" displayFolder="" measureGroup="Table1" count="0" hidden="1">
      <extLst>
        <ext xmlns:x15="http://schemas.microsoft.com/office/spreadsheetml/2010/11/main" uri="{B97F6D7D-B522-45F9-BDA1-12C45D357490}">
          <x15:cacheHierarchy aggregatedColumn="4"/>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5"/>
        </ext>
      </extLst>
    </cacheHierarchy>
    <cacheHierarchy uniqueName="[Measures].[Sum of Revenue(order)]" caption="Sum of Revenue(order)"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8" uniqueName="[Table8]" caption="Table8"/>
  </dimensions>
  <measureGroups count="4">
    <measureGroup name="Table1" caption="Table1"/>
    <measureGroup name="Table2" caption="Table2"/>
    <measureGroup name="Table3" caption="Table3"/>
    <measureGroup name="Table8" caption="Table8"/>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8.809071064818" backgroundQuery="1" createdVersion="7" refreshedVersion="7" minRefreshableVersion="3" recordCount="0" supportSubquery="1" supportAdvancedDrill="1" xr:uid="{C4453D1C-0497-488F-BFF0-541E729DEBF3}">
  <cacheSource type="external" connectionId="1"/>
  <cacheFields count="5">
    <cacheField name="[Table1].[OrderDate].[OrderDate]" caption="OrderDate" numFmtId="0" hierarchy="1" level="1">
      <sharedItems containsSemiMixedTypes="0" containsNonDate="0" containsDate="1" containsString="0" minDate="2024-01-01T00:00:00" maxDate="2024-06-30T00:00:00" count="157">
        <d v="2024-01-01T00:00:00"/>
        <d v="2024-01-03T00:00:00"/>
        <d v="2024-01-04T00:00:00"/>
        <d v="2024-01-07T00:00:00"/>
        <d v="2024-01-08T00:00:00"/>
        <d v="2024-01-09T00:00:00"/>
        <d v="2024-01-11T00:00:00"/>
        <d v="2024-01-12T00:00:00"/>
        <d v="2024-01-14T00:00:00"/>
        <d v="2024-01-17T00:00:00"/>
        <d v="2024-01-18T00:00:00"/>
        <d v="2024-01-19T00:00:00"/>
        <d v="2024-01-20T00:00:00"/>
        <d v="2024-01-21T00:00:00"/>
        <d v="2024-01-22T00:00:00"/>
        <d v="2024-01-24T00:00:00"/>
        <d v="2024-01-26T00:00:00"/>
        <d v="2024-01-27T00:00:00"/>
        <d v="2024-01-28T00:00:00"/>
        <d v="2024-01-29T00:00:00"/>
        <d v="2024-01-30T00:00:00"/>
        <d v="2024-01-31T00:00:00"/>
        <d v="2024-02-01T00:00:00"/>
        <d v="2024-02-02T00:00:00"/>
        <d v="2024-02-03T00:00:00"/>
        <d v="2024-02-04T00:00:00"/>
        <d v="2024-02-05T00:00:00"/>
        <d v="2024-02-07T00:00:00"/>
        <d v="2024-02-08T00:00:00"/>
        <d v="2024-02-09T00:00:00"/>
        <d v="2024-02-10T00:00:00"/>
        <d v="2024-02-11T00:00:00"/>
        <d v="2024-02-12T00:00:00"/>
        <d v="2024-02-13T00:00:00"/>
        <d v="2024-02-14T00:00:00"/>
        <d v="2024-02-15T00:00:00"/>
        <d v="2024-02-16T00:00:00"/>
        <d v="2024-02-17T00:00:00"/>
        <d v="2024-02-19T00:00:00"/>
        <d v="2024-02-21T00:00:00"/>
        <d v="2024-02-22T00:00:00"/>
        <d v="2024-02-23T00:00:00"/>
        <d v="2024-02-24T00:00:00"/>
        <d v="2024-02-26T00:00:00"/>
        <d v="2024-02-27T00:00:00"/>
        <d v="2024-02-28T00:00:00"/>
        <d v="2024-02-29T00:00:00"/>
        <d v="2024-03-01T00:00:00"/>
        <d v="2024-03-02T00:00:00"/>
        <d v="2024-03-03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7T00:00:00"/>
        <d v="2024-04-09T00:00:00"/>
        <d v="2024-04-10T00:00:00"/>
        <d v="2024-04-11T00:00:00"/>
        <d v="2024-04-12T00:00:00"/>
        <d v="2024-04-13T00:00:00"/>
        <d v="2024-04-14T00:00:00"/>
        <d v="2024-04-15T00:00:00"/>
        <d v="2024-04-16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9T00:00:00"/>
        <d v="2024-05-10T00:00:00"/>
        <d v="2024-05-12T00:00:00"/>
        <d v="2024-05-13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sharedItems>
    </cacheField>
    <cacheField name="[Table1].[OrderDate (Month)].[OrderDate (Month)]" caption="OrderDate (Month)" numFmtId="0" hierarchy="11" level="1">
      <sharedItems count="6">
        <s v="Jan"/>
        <s v="Feb"/>
        <s v="Mar"/>
        <s v="Apr"/>
        <s v="May"/>
        <s v="Jun"/>
      </sharedItems>
    </cacheField>
    <cacheField name="[Measures].[Sum of Revenue(order)]" caption="Sum of Revenue(order)" numFmtId="0" hierarchy="39" level="32767"/>
    <cacheField name="[Table1].[Category].[Category]" caption="Category" numFmtId="0" hierarchy="7" level="1">
      <sharedItems containsSemiMixedTypes="0" containsNonDate="0" containsString="0"/>
    </cacheField>
    <cacheField name="[Table1].[Country].[Country]" caption="Country" numFmtId="0" hierarchy="9" level="1">
      <sharedItems containsSemiMixedTypes="0" containsNonDate="0" containsString="0"/>
    </cacheField>
  </cacheFields>
  <cacheHierarchies count="4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2" memberValueDatatype="7" unbalanced="0">
      <fieldsUsage count="2">
        <fieldUsage x="-1"/>
        <fieldUsage x="0"/>
      </fieldsUsage>
    </cacheHierarchy>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5" unbalanced="0"/>
    <cacheHierarchy uniqueName="[Table1].[ProductName]" caption="ProductName" attribute="1" defaultMemberUniqueName="[Table1].[ProductName].[All]" allUniqueName="[Table1].[Product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UnitPrice]" caption="UnitPrice" attribute="1" defaultMemberUniqueName="[Table1].[UnitPrice].[All]" allUniqueName="[Table1].[UnitPrice].[All]" dimensionUniqueName="[Table1]" displayFolder="" count="0" memberValueDatatype="5" unbalanced="0"/>
    <cacheHierarchy uniqueName="[Table1].[Country]" caption="Country" attribute="1" defaultMemberUniqueName="[Table1].[Country].[All]" allUniqueName="[Table1].[Country].[All]" dimensionUniqueName="[Table1]" displayFolder="" count="2" memberValueDatatype="130" unbalanced="0">
      <fieldsUsage count="2">
        <fieldUsage x="-1"/>
        <fieldUsage x="4"/>
      </fieldsUsage>
    </cacheHierarchy>
    <cacheHierarchy uniqueName="[Table1].[Revenue(order)]" caption="Revenue(order)" attribute="1" defaultMemberUniqueName="[Table1].[Revenue(order)].[All]" allUniqueName="[Table1].[Revenue(order)].[All]" dimensionUniqueName="[Table1]" displayFolder="" count="0" memberValueDatatype="5" unbalanced="0"/>
    <cacheHierarchy uniqueName="[Table1].[OrderDate (Month)]" caption="OrderDate (Month)" attribute="1" defaultMemberUniqueName="[Table1].[OrderDate (Month)].[All]" allUniqueName="[Table1].[OrderDate (Month)].[All]" dimensionUniqueName="[Table1]" displayFolder="" count="2" memberValueDatatype="130" unbalanced="0">
      <fieldsUsage count="2">
        <fieldUsage x="-1"/>
        <fieldUsage x="1"/>
      </fieldsUsage>
    </cacheHierarchy>
    <cacheHierarchy uniqueName="[Table2].[CustomerID]" caption="CustomerID" attribute="1" defaultMemberUniqueName="[Table2].[CustomerID].[All]" allUniqueName="[Table2].[CustomerID].[All]" dimensionUniqueName="[Table2]" displayFolder="" count="0" memberValueDatatype="130" unbalanced="0"/>
    <cacheHierarchy uniqueName="[Table2].[CustomerName]" caption="CustomerName" attribute="1" defaultMemberUniqueName="[Table2].[CustomerName].[All]" allUniqueName="[Table2].[CustomerName].[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ignupDate]" caption="SignupDate" attribute="1" time="1" defaultMemberUniqueName="[Table2].[SignupDate].[All]" allUniqueName="[Table2].[SignupDate].[All]" dimensionUniqueName="[Table2]" displayFolder="" count="0" memberValueDatatype="7" unbalanced="0"/>
    <cacheHierarchy uniqueName="[Table3].[ProductID]" caption="ProductID" attribute="1" defaultMemberUniqueName="[Table3].[ProductID].[All]" allUniqueName="[Table3].[ProductID].[All]" dimensionUniqueName="[Table3]" displayFolder="" count="0" memberValueDatatype="130" unbalanced="0"/>
    <cacheHierarchy uniqueName="[Table3].[ProductName]" caption="ProductName" attribute="1" defaultMemberUniqueName="[Table3].[ProductName].[All]" allUniqueName="[Table3].[Product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UnitPrice]" caption="UnitPrice" attribute="1" defaultMemberUniqueName="[Table3].[UnitPrice].[All]" allUniqueName="[Table3].[UnitPrice].[All]" dimensionUniqueName="[Table3]" displayFolder="" count="0" memberValueDatatype="5" unbalanced="0"/>
    <cacheHierarchy uniqueName="[Table8].[Product Category]" caption="Product Category" attribute="1" defaultMemberUniqueName="[Table8].[Product Category].[All]" allUniqueName="[Table8].[Product Category].[All]" dimensionUniqueName="[Table8]" displayFolder="" count="0" memberValueDatatype="130" unbalanced="0"/>
    <cacheHierarchy uniqueName="[Table8].[Revenue]" caption="Revenue" attribute="1" defaultMemberUniqueName="[Table8].[Revenue].[All]" allUniqueName="[Table8].[Revenue].[All]" dimensionUniqueName="[Table8]" displayFolder="" count="0" memberValueDatatype="5"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3]" caption="__XL_Count Table3" measure="1" displayFolder="" measureGroup="Table3"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Count of ProductName]" caption="Count of ProductName" measure="1" displayFolder="" measureGroup="Table3" count="0" hidden="1">
      <extLst>
        <ext xmlns:x15="http://schemas.microsoft.com/office/spreadsheetml/2010/11/main" uri="{B97F6D7D-B522-45F9-BDA1-12C45D357490}">
          <x15:cacheHierarchy aggregatedColumn="18"/>
        </ext>
      </extLst>
    </cacheHierarchy>
    <cacheHierarchy uniqueName="[Measures].[Count of ProductName 2]" caption="Count of ProductName 2" measure="1" displayFolder="" measureGroup="Table1" count="0" hidden="1">
      <extLst>
        <ext xmlns:x15="http://schemas.microsoft.com/office/spreadsheetml/2010/11/main" uri="{B97F6D7D-B522-45F9-BDA1-12C45D357490}">
          <x15:cacheHierarchy aggregatedColumn="6"/>
        </ext>
      </extLst>
    </cacheHierarchy>
    <cacheHierarchy uniqueName="[Measures].[Sum of SalesAmount]" caption="Sum of SalesAmount" measure="1" displayFolder="" measureGroup="Table1" count="0" hidden="1">
      <extLst>
        <ext xmlns:x15="http://schemas.microsoft.com/office/spreadsheetml/2010/11/main" uri="{B97F6D7D-B522-45F9-BDA1-12C45D357490}">
          <x15:cacheHierarchy aggregatedColumn="5"/>
        </ext>
      </extLst>
    </cacheHierarchy>
    <cacheHierarchy uniqueName="[Measures].[Max of SalesAmount]" caption="Max of SalesAmount" measure="1" displayFolder="" measureGroup="Table1"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Table8"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4"/>
        </ext>
      </extLst>
    </cacheHierarchy>
    <cacheHierarchy uniqueName="[Measures].[Max of Quantity]" caption="Max of Quantity" measure="1" displayFolder="" measureGroup="Table1" count="0" hidden="1">
      <extLst>
        <ext xmlns:x15="http://schemas.microsoft.com/office/spreadsheetml/2010/11/main" uri="{B97F6D7D-B522-45F9-BDA1-12C45D357490}">
          <x15:cacheHierarchy aggregatedColumn="4"/>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5"/>
        </ext>
      </extLst>
    </cacheHierarchy>
    <cacheHierarchy uniqueName="[Measures].[Sum of Revenue(order)]" caption="Sum of Revenue(order)" measure="1" displayFolder="" measureGroup="Table1" count="0" oneField="1" hidden="1">
      <fieldsUsage count="1">
        <fieldUsage x="2"/>
      </fieldsUsage>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8" uniqueName="[Table8]" caption="Table8"/>
  </dimensions>
  <measureGroups count="4">
    <measureGroup name="Table1" caption="Table1"/>
    <measureGroup name="Table2" caption="Table2"/>
    <measureGroup name="Table3" caption="Table3"/>
    <measureGroup name="Table8" caption="Table8"/>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8.809073958335" backgroundQuery="1" createdVersion="7" refreshedVersion="7" minRefreshableVersion="3" recordCount="0" supportSubquery="1" supportAdvancedDrill="1" xr:uid="{3A0698D6-A927-443C-97B3-0A853EEA821B}">
  <cacheSource type="external" connectionId="1"/>
  <cacheFields count="5">
    <cacheField name="[Measures].[Sum of SalesAmount]" caption="Sum of SalesAmount" numFmtId="0" hierarchy="31" level="32767"/>
    <cacheField name="[Table1].[Category].[Category]" caption="Category" numFmtId="0" hierarchy="7" level="1">
      <sharedItems count="5">
        <s v="Beauty"/>
        <s v="Clothing"/>
        <s v="Electronics"/>
        <s v="Home"/>
        <s v="Sports"/>
      </sharedItems>
    </cacheField>
    <cacheField name="[Measures].[Count of Quantity]" caption="Count of Quantity" numFmtId="0" hierarchy="36" level="32767"/>
    <cacheField name="[Table1].[OrderDate (Month)].[OrderDate (Month)]" caption="OrderDate (Month)" numFmtId="0" hierarchy="11" level="1">
      <sharedItems containsSemiMixedTypes="0" containsNonDate="0" containsString="0"/>
    </cacheField>
    <cacheField name="[Table1].[Country].[Country]" caption="Country" numFmtId="0" hierarchy="9" level="1">
      <sharedItems containsSemiMixedTypes="0" containsNonDate="0" containsString="0"/>
    </cacheField>
  </cacheFields>
  <cacheHierarchies count="4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5" unbalanced="0"/>
    <cacheHierarchy uniqueName="[Table1].[ProductName]" caption="ProductName" attribute="1" defaultMemberUniqueName="[Table1].[ProductName].[All]" allUniqueName="[Table1].[Product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UnitPrice]" caption="UnitPrice" attribute="1" defaultMemberUniqueName="[Table1].[UnitPrice].[All]" allUniqueName="[Table1].[UnitPrice].[All]" dimensionUniqueName="[Table1]" displayFolder="" count="0" memberValueDatatype="5" unbalanced="0"/>
    <cacheHierarchy uniqueName="[Table1].[Country]" caption="Country" attribute="1" defaultMemberUniqueName="[Table1].[Country].[All]" allUniqueName="[Table1].[Country].[All]" dimensionUniqueName="[Table1]" displayFolder="" count="2" memberValueDatatype="130" unbalanced="0">
      <fieldsUsage count="2">
        <fieldUsage x="-1"/>
        <fieldUsage x="4"/>
      </fieldsUsage>
    </cacheHierarchy>
    <cacheHierarchy uniqueName="[Table1].[Revenue(order)]" caption="Revenue(order)" attribute="1" defaultMemberUniqueName="[Table1].[Revenue(order)].[All]" allUniqueName="[Table1].[Revenue(order)].[All]" dimensionUniqueName="[Table1]" displayFolder="" count="0" memberValueDatatype="5" unbalanced="0"/>
    <cacheHierarchy uniqueName="[Table1].[OrderDate (Month)]" caption="OrderDate (Month)" attribute="1" defaultMemberUniqueName="[Table1].[OrderDate (Month)].[All]" allUniqueName="[Table1].[OrderDate (Month)].[All]" dimensionUniqueName="[Table1]" displayFolder="" count="2" memberValueDatatype="130" unbalanced="0">
      <fieldsUsage count="2">
        <fieldUsage x="-1"/>
        <fieldUsage x="3"/>
      </fieldsUsage>
    </cacheHierarchy>
    <cacheHierarchy uniqueName="[Table2].[CustomerID]" caption="CustomerID" attribute="1" defaultMemberUniqueName="[Table2].[CustomerID].[All]" allUniqueName="[Table2].[CustomerID].[All]" dimensionUniqueName="[Table2]" displayFolder="" count="0" memberValueDatatype="130" unbalanced="0"/>
    <cacheHierarchy uniqueName="[Table2].[CustomerName]" caption="CustomerName" attribute="1" defaultMemberUniqueName="[Table2].[CustomerName].[All]" allUniqueName="[Table2].[CustomerName].[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ignupDate]" caption="SignupDate" attribute="1" time="1" defaultMemberUniqueName="[Table2].[SignupDate].[All]" allUniqueName="[Table2].[SignupDate].[All]" dimensionUniqueName="[Table2]" displayFolder="" count="0" memberValueDatatype="7" unbalanced="0"/>
    <cacheHierarchy uniqueName="[Table3].[ProductID]" caption="ProductID" attribute="1" defaultMemberUniqueName="[Table3].[ProductID].[All]" allUniqueName="[Table3].[ProductID].[All]" dimensionUniqueName="[Table3]" displayFolder="" count="0" memberValueDatatype="130" unbalanced="0"/>
    <cacheHierarchy uniqueName="[Table3].[ProductName]" caption="ProductName" attribute="1" defaultMemberUniqueName="[Table3].[ProductName].[All]" allUniqueName="[Table3].[Product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UnitPrice]" caption="UnitPrice" attribute="1" defaultMemberUniqueName="[Table3].[UnitPrice].[All]" allUniqueName="[Table3].[UnitPrice].[All]" dimensionUniqueName="[Table3]" displayFolder="" count="0" memberValueDatatype="5" unbalanced="0"/>
    <cacheHierarchy uniqueName="[Table8].[Product Category]" caption="Product Category" attribute="1" defaultMemberUniqueName="[Table8].[Product Category].[All]" allUniqueName="[Table8].[Product Category].[All]" dimensionUniqueName="[Table8]" displayFolder="" count="0" memberValueDatatype="130" unbalanced="0"/>
    <cacheHierarchy uniqueName="[Table8].[Revenue]" caption="Revenue" attribute="1" defaultMemberUniqueName="[Table8].[Revenue].[All]" allUniqueName="[Table8].[Revenue].[All]" dimensionUniqueName="[Table8]" displayFolder="" count="0" memberValueDatatype="5"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3]" caption="__XL_Count Table3" measure="1" displayFolder="" measureGroup="Table3"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Count of ProductName]" caption="Count of ProductName" measure="1" displayFolder="" measureGroup="Table3" count="0" hidden="1">
      <extLst>
        <ext xmlns:x15="http://schemas.microsoft.com/office/spreadsheetml/2010/11/main" uri="{B97F6D7D-B522-45F9-BDA1-12C45D357490}">
          <x15:cacheHierarchy aggregatedColumn="18"/>
        </ext>
      </extLst>
    </cacheHierarchy>
    <cacheHierarchy uniqueName="[Measures].[Count of ProductName 2]" caption="Count of ProductName 2" measure="1" displayFolder="" measureGroup="Table1" count="0" hidden="1">
      <extLst>
        <ext xmlns:x15="http://schemas.microsoft.com/office/spreadsheetml/2010/11/main" uri="{B97F6D7D-B522-45F9-BDA1-12C45D357490}">
          <x15:cacheHierarchy aggregatedColumn="6"/>
        </ext>
      </extLst>
    </cacheHierarchy>
    <cacheHierarchy uniqueName="[Measures].[Sum of SalesAmount]" caption="Sum of SalesAmount"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Max of SalesAmount]" caption="Max of SalesAmount" measure="1" displayFolder="" measureGroup="Table1"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Table8"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Table1" count="0" oneField="1" hidden="1">
      <fieldsUsage count="1">
        <fieldUsage x="2"/>
      </fieldsUsage>
      <extLst>
        <ext xmlns:x15="http://schemas.microsoft.com/office/spreadsheetml/2010/11/main" uri="{B97F6D7D-B522-45F9-BDA1-12C45D357490}">
          <x15:cacheHierarchy aggregatedColumn="4"/>
        </ext>
      </extLst>
    </cacheHierarchy>
    <cacheHierarchy uniqueName="[Measures].[Max of Quantity]" caption="Max of Quantity" measure="1" displayFolder="" measureGroup="Table1" count="0" hidden="1">
      <extLst>
        <ext xmlns:x15="http://schemas.microsoft.com/office/spreadsheetml/2010/11/main" uri="{B97F6D7D-B522-45F9-BDA1-12C45D357490}">
          <x15:cacheHierarchy aggregatedColumn="4"/>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5"/>
        </ext>
      </extLst>
    </cacheHierarchy>
    <cacheHierarchy uniqueName="[Measures].[Sum of Revenue(order)]" caption="Sum of Revenue(order)" measure="1" displayFolder="" measureGroup="Table1" count="0" hidden="1">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8" uniqueName="[Table8]" caption="Table8"/>
  </dimensions>
  <measureGroups count="4">
    <measureGroup name="Table1" caption="Table1"/>
    <measureGroup name="Table2" caption="Table2"/>
    <measureGroup name="Table3" caption="Table3"/>
    <measureGroup name="Table8" caption="Table8"/>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8.809077083337" backgroundQuery="1" createdVersion="7" refreshedVersion="7" minRefreshableVersion="3" recordCount="0" supportSubquery="1" supportAdvancedDrill="1" xr:uid="{2259724B-D7AA-4D74-B898-00D486F7A069}">
  <cacheSource type="external" connectionId="1"/>
  <cacheFields count="4">
    <cacheField name="[Table1].[Category].[Category]" caption="Category" numFmtId="0" hierarchy="7" level="1">
      <sharedItems count="5">
        <s v="Beauty"/>
        <s v="Clothing"/>
        <s v="Electronics"/>
        <s v="Home"/>
        <s v="Sports"/>
      </sharedItems>
    </cacheField>
    <cacheField name="[Measures].[Sum of SalesAmount]" caption="Sum of SalesAmount" numFmtId="0" hierarchy="31" level="32767"/>
    <cacheField name="[Table1].[OrderDate (Month)].[OrderDate (Month)]" caption="OrderDate (Month)" numFmtId="0" hierarchy="11" level="1">
      <sharedItems containsSemiMixedTypes="0" containsNonDate="0" containsString="0"/>
    </cacheField>
    <cacheField name="[Table1].[Country].[Country]" caption="Country" numFmtId="0" hierarchy="9" level="1">
      <sharedItems containsSemiMixedTypes="0" containsNonDate="0" containsString="0"/>
    </cacheField>
  </cacheFields>
  <cacheHierarchies count="4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5" unbalanced="0"/>
    <cacheHierarchy uniqueName="[Table1].[ProductName]" caption="ProductName" attribute="1" defaultMemberUniqueName="[Table1].[ProductName].[All]" allUniqueName="[Table1].[Product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UnitPrice]" caption="UnitPrice" attribute="1" defaultMemberUniqueName="[Table1].[UnitPrice].[All]" allUniqueName="[Table1].[UnitPrice].[All]" dimensionUniqueName="[Table1]" displayFolder="" count="0" memberValueDatatype="5" unbalanced="0"/>
    <cacheHierarchy uniqueName="[Table1].[Country]" caption="Country" attribute="1" defaultMemberUniqueName="[Table1].[Country].[All]" allUniqueName="[Table1].[Country].[All]" dimensionUniqueName="[Table1]" displayFolder="" count="2" memberValueDatatype="130" unbalanced="0">
      <fieldsUsage count="2">
        <fieldUsage x="-1"/>
        <fieldUsage x="3"/>
      </fieldsUsage>
    </cacheHierarchy>
    <cacheHierarchy uniqueName="[Table1].[Revenue(order)]" caption="Revenue(order)" attribute="1" defaultMemberUniqueName="[Table1].[Revenue(order)].[All]" allUniqueName="[Table1].[Revenue(order)].[All]" dimensionUniqueName="[Table1]" displayFolder="" count="0" memberValueDatatype="5" unbalanced="0"/>
    <cacheHierarchy uniqueName="[Table1].[OrderDate (Month)]" caption="OrderDate (Month)" attribute="1" defaultMemberUniqueName="[Table1].[OrderDate (Month)].[All]" allUniqueName="[Table1].[OrderDate (Month)].[All]" dimensionUniqueName="[Table1]" displayFolder="" count="2" memberValueDatatype="130" unbalanced="0">
      <fieldsUsage count="2">
        <fieldUsage x="-1"/>
        <fieldUsage x="2"/>
      </fieldsUsage>
    </cacheHierarchy>
    <cacheHierarchy uniqueName="[Table2].[CustomerID]" caption="CustomerID" attribute="1" defaultMemberUniqueName="[Table2].[CustomerID].[All]" allUniqueName="[Table2].[CustomerID].[All]" dimensionUniqueName="[Table2]" displayFolder="" count="0" memberValueDatatype="130" unbalanced="0"/>
    <cacheHierarchy uniqueName="[Table2].[CustomerName]" caption="CustomerName" attribute="1" defaultMemberUniqueName="[Table2].[CustomerName].[All]" allUniqueName="[Table2].[CustomerName].[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ignupDate]" caption="SignupDate" attribute="1" time="1" defaultMemberUniqueName="[Table2].[SignupDate].[All]" allUniqueName="[Table2].[SignupDate].[All]" dimensionUniqueName="[Table2]" displayFolder="" count="0" memberValueDatatype="7" unbalanced="0"/>
    <cacheHierarchy uniqueName="[Table3].[ProductID]" caption="ProductID" attribute="1" defaultMemberUniqueName="[Table3].[ProductID].[All]" allUniqueName="[Table3].[ProductID].[All]" dimensionUniqueName="[Table3]" displayFolder="" count="0" memberValueDatatype="130" unbalanced="0"/>
    <cacheHierarchy uniqueName="[Table3].[ProductName]" caption="ProductName" attribute="1" defaultMemberUniqueName="[Table3].[ProductName].[All]" allUniqueName="[Table3].[Product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UnitPrice]" caption="UnitPrice" attribute="1" defaultMemberUniqueName="[Table3].[UnitPrice].[All]" allUniqueName="[Table3].[UnitPrice].[All]" dimensionUniqueName="[Table3]" displayFolder="" count="0" memberValueDatatype="5" unbalanced="0"/>
    <cacheHierarchy uniqueName="[Table8].[Product Category]" caption="Product Category" attribute="1" defaultMemberUniqueName="[Table8].[Product Category].[All]" allUniqueName="[Table8].[Product Category].[All]" dimensionUniqueName="[Table8]" displayFolder="" count="0" memberValueDatatype="130" unbalanced="0"/>
    <cacheHierarchy uniqueName="[Table8].[Revenue]" caption="Revenue" attribute="1" defaultMemberUniqueName="[Table8].[Revenue].[All]" allUniqueName="[Table8].[Revenue].[All]" dimensionUniqueName="[Table8]" displayFolder="" count="0" memberValueDatatype="5"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3]" caption="__XL_Count Table3" measure="1" displayFolder="" measureGroup="Table3"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Count of ProductName]" caption="Count of ProductName" measure="1" displayFolder="" measureGroup="Table3" count="0" hidden="1">
      <extLst>
        <ext xmlns:x15="http://schemas.microsoft.com/office/spreadsheetml/2010/11/main" uri="{B97F6D7D-B522-45F9-BDA1-12C45D357490}">
          <x15:cacheHierarchy aggregatedColumn="18"/>
        </ext>
      </extLst>
    </cacheHierarchy>
    <cacheHierarchy uniqueName="[Measures].[Count of ProductName 2]" caption="Count of ProductName 2" measure="1" displayFolder="" measureGroup="Table1" count="0" hidden="1">
      <extLst>
        <ext xmlns:x15="http://schemas.microsoft.com/office/spreadsheetml/2010/11/main" uri="{B97F6D7D-B522-45F9-BDA1-12C45D357490}">
          <x15:cacheHierarchy aggregatedColumn="6"/>
        </ext>
      </extLst>
    </cacheHierarchy>
    <cacheHierarchy uniqueName="[Measures].[Sum of SalesAmount]" caption="Sum of SalesAmount"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Max of SalesAmount]" caption="Max of SalesAmount" measure="1" displayFolder="" measureGroup="Table1"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Table8"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4"/>
        </ext>
      </extLst>
    </cacheHierarchy>
    <cacheHierarchy uniqueName="[Measures].[Max of Quantity]" caption="Max of Quantity" measure="1" displayFolder="" measureGroup="Table1" count="0" hidden="1">
      <extLst>
        <ext xmlns:x15="http://schemas.microsoft.com/office/spreadsheetml/2010/11/main" uri="{B97F6D7D-B522-45F9-BDA1-12C45D357490}">
          <x15:cacheHierarchy aggregatedColumn="4"/>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5"/>
        </ext>
      </extLst>
    </cacheHierarchy>
    <cacheHierarchy uniqueName="[Measures].[Sum of Revenue(order)]" caption="Sum of Revenue(order)" measure="1" displayFolder="" measureGroup="Table1" count="0" hidden="1">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8" uniqueName="[Table8]" caption="Table8"/>
  </dimensions>
  <measureGroups count="4">
    <measureGroup name="Table1" caption="Table1"/>
    <measureGroup name="Table2" caption="Table2"/>
    <measureGroup name="Table3" caption="Table3"/>
    <measureGroup name="Table8" caption="Table8"/>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8.809080439816" backgroundQuery="1" createdVersion="7" refreshedVersion="7" minRefreshableVersion="3" recordCount="0" supportSubquery="1" supportAdvancedDrill="1" xr:uid="{6D3D5E91-BE5F-4B94-9207-D1134074D026}">
  <cacheSource type="external" connectionId="1"/>
  <cacheFields count="4">
    <cacheField name="[Table1].[Category].[Category]" caption="Category" numFmtId="0" hierarchy="7" level="1">
      <sharedItems count="5">
        <s v="Beauty"/>
        <s v="Clothing"/>
        <s v="Electronics"/>
        <s v="Home"/>
        <s v="Sports"/>
      </sharedItems>
    </cacheField>
    <cacheField name="[Measures].[Count of SalesAmount]" caption="Count of SalesAmount" numFmtId="0" hierarchy="38" level="32767"/>
    <cacheField name="[Table1].[OrderDate (Month)].[OrderDate (Month)]" caption="OrderDate (Month)" numFmtId="0" hierarchy="11" level="1">
      <sharedItems containsSemiMixedTypes="0" containsNonDate="0" containsString="0"/>
    </cacheField>
    <cacheField name="[Table1].[Country].[Country]" caption="Country" numFmtId="0" hierarchy="9" level="1">
      <sharedItems containsSemiMixedTypes="0" containsNonDate="0" containsString="0"/>
    </cacheField>
  </cacheFields>
  <cacheHierarchies count="4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5" unbalanced="0"/>
    <cacheHierarchy uniqueName="[Table1].[ProductName]" caption="ProductName" attribute="1" defaultMemberUniqueName="[Table1].[ProductName].[All]" allUniqueName="[Table1].[Product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UnitPrice]" caption="UnitPrice" attribute="1" defaultMemberUniqueName="[Table1].[UnitPrice].[All]" allUniqueName="[Table1].[UnitPrice].[All]" dimensionUniqueName="[Table1]" displayFolder="" count="0" memberValueDatatype="5" unbalanced="0"/>
    <cacheHierarchy uniqueName="[Table1].[Country]" caption="Country" attribute="1" defaultMemberUniqueName="[Table1].[Country].[All]" allUniqueName="[Table1].[Country].[All]" dimensionUniqueName="[Table1]" displayFolder="" count="2" memberValueDatatype="130" unbalanced="0">
      <fieldsUsage count="2">
        <fieldUsage x="-1"/>
        <fieldUsage x="3"/>
      </fieldsUsage>
    </cacheHierarchy>
    <cacheHierarchy uniqueName="[Table1].[Revenue(order)]" caption="Revenue(order)" attribute="1" defaultMemberUniqueName="[Table1].[Revenue(order)].[All]" allUniqueName="[Table1].[Revenue(order)].[All]" dimensionUniqueName="[Table1]" displayFolder="" count="0" memberValueDatatype="5" unbalanced="0"/>
    <cacheHierarchy uniqueName="[Table1].[OrderDate (Month)]" caption="OrderDate (Month)" attribute="1" defaultMemberUniqueName="[Table1].[OrderDate (Month)].[All]" allUniqueName="[Table1].[OrderDate (Month)].[All]" dimensionUniqueName="[Table1]" displayFolder="" count="2" memberValueDatatype="130" unbalanced="0">
      <fieldsUsage count="2">
        <fieldUsage x="-1"/>
        <fieldUsage x="2"/>
      </fieldsUsage>
    </cacheHierarchy>
    <cacheHierarchy uniqueName="[Table2].[CustomerID]" caption="CustomerID" attribute="1" defaultMemberUniqueName="[Table2].[CustomerID].[All]" allUniqueName="[Table2].[CustomerID].[All]" dimensionUniqueName="[Table2]" displayFolder="" count="0" memberValueDatatype="130" unbalanced="0"/>
    <cacheHierarchy uniqueName="[Table2].[CustomerName]" caption="CustomerName" attribute="1" defaultMemberUniqueName="[Table2].[CustomerName].[All]" allUniqueName="[Table2].[CustomerName].[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ignupDate]" caption="SignupDate" attribute="1" time="1" defaultMemberUniqueName="[Table2].[SignupDate].[All]" allUniqueName="[Table2].[SignupDate].[All]" dimensionUniqueName="[Table2]" displayFolder="" count="0" memberValueDatatype="7" unbalanced="0"/>
    <cacheHierarchy uniqueName="[Table3].[ProductID]" caption="ProductID" attribute="1" defaultMemberUniqueName="[Table3].[ProductID].[All]" allUniqueName="[Table3].[ProductID].[All]" dimensionUniqueName="[Table3]" displayFolder="" count="0" memberValueDatatype="130" unbalanced="0"/>
    <cacheHierarchy uniqueName="[Table3].[ProductName]" caption="ProductName" attribute="1" defaultMemberUniqueName="[Table3].[ProductName].[All]" allUniqueName="[Table3].[Product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UnitPrice]" caption="UnitPrice" attribute="1" defaultMemberUniqueName="[Table3].[UnitPrice].[All]" allUniqueName="[Table3].[UnitPrice].[All]" dimensionUniqueName="[Table3]" displayFolder="" count="0" memberValueDatatype="5" unbalanced="0"/>
    <cacheHierarchy uniqueName="[Table8].[Product Category]" caption="Product Category" attribute="1" defaultMemberUniqueName="[Table8].[Product Category].[All]" allUniqueName="[Table8].[Product Category].[All]" dimensionUniqueName="[Table8]" displayFolder="" count="0" memberValueDatatype="130" unbalanced="0"/>
    <cacheHierarchy uniqueName="[Table8].[Revenue]" caption="Revenue" attribute="1" defaultMemberUniqueName="[Table8].[Revenue].[All]" allUniqueName="[Table8].[Revenue].[All]" dimensionUniqueName="[Table8]" displayFolder="" count="0" memberValueDatatype="5"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3]" caption="__XL_Count Table3" measure="1" displayFolder="" measureGroup="Table3"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Count of ProductName]" caption="Count of ProductName" measure="1" displayFolder="" measureGroup="Table3" count="0" hidden="1">
      <extLst>
        <ext xmlns:x15="http://schemas.microsoft.com/office/spreadsheetml/2010/11/main" uri="{B97F6D7D-B522-45F9-BDA1-12C45D357490}">
          <x15:cacheHierarchy aggregatedColumn="18"/>
        </ext>
      </extLst>
    </cacheHierarchy>
    <cacheHierarchy uniqueName="[Measures].[Count of ProductName 2]" caption="Count of ProductName 2" measure="1" displayFolder="" measureGroup="Table1" count="0" hidden="1">
      <extLst>
        <ext xmlns:x15="http://schemas.microsoft.com/office/spreadsheetml/2010/11/main" uri="{B97F6D7D-B522-45F9-BDA1-12C45D357490}">
          <x15:cacheHierarchy aggregatedColumn="6"/>
        </ext>
      </extLst>
    </cacheHierarchy>
    <cacheHierarchy uniqueName="[Measures].[Sum of SalesAmount]" caption="Sum of SalesAmount" measure="1" displayFolder="" measureGroup="Table1" count="0" hidden="1">
      <extLst>
        <ext xmlns:x15="http://schemas.microsoft.com/office/spreadsheetml/2010/11/main" uri="{B97F6D7D-B522-45F9-BDA1-12C45D357490}">
          <x15:cacheHierarchy aggregatedColumn="5"/>
        </ext>
      </extLst>
    </cacheHierarchy>
    <cacheHierarchy uniqueName="[Measures].[Max of SalesAmount]" caption="Max of SalesAmount" measure="1" displayFolder="" measureGroup="Table1"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Table8"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4"/>
        </ext>
      </extLst>
    </cacheHierarchy>
    <cacheHierarchy uniqueName="[Measures].[Max of Quantity]" caption="Max of Quantity" measure="1" displayFolder="" measureGroup="Table1" count="0" hidden="1">
      <extLst>
        <ext xmlns:x15="http://schemas.microsoft.com/office/spreadsheetml/2010/11/main" uri="{B97F6D7D-B522-45F9-BDA1-12C45D357490}">
          <x15:cacheHierarchy aggregatedColumn="4"/>
        </ext>
      </extLst>
    </cacheHierarchy>
    <cacheHierarchy uniqueName="[Measures].[Count of SalesAmount]" caption="Count of SalesAmount"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Revenue(order)]" caption="Sum of Revenue(order)" measure="1" displayFolder="" measureGroup="Table1" count="0" hidden="1">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8" uniqueName="[Table8]" caption="Table8"/>
  </dimensions>
  <measureGroups count="4">
    <measureGroup name="Table1" caption="Table1"/>
    <measureGroup name="Table2" caption="Table2"/>
    <measureGroup name="Table3" caption="Table3"/>
    <measureGroup name="Table8" caption="Table8"/>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8.809083564818" backgroundQuery="1" createdVersion="7" refreshedVersion="7" minRefreshableVersion="3" recordCount="0" supportSubquery="1" supportAdvancedDrill="1" xr:uid="{938763E3-BE62-4474-9E9D-633FD04D870F}">
  <cacheSource type="external" connectionId="1"/>
  <cacheFields count="8">
    <cacheField name="[Table3].[ProductName].[ProductName]" caption="ProductName" numFmtId="0" hierarchy="18" level="1">
      <sharedItems count="40">
        <s v="Product_1"/>
        <s v="Product_10"/>
        <s v="Product_11"/>
        <s v="Product_12"/>
        <s v="Product_13"/>
        <s v="Product_14"/>
        <s v="Product_15"/>
        <s v="Product_16"/>
        <s v="Product_17"/>
        <s v="Product_18"/>
        <s v="Product_19"/>
        <s v="Product_2"/>
        <s v="Product_20"/>
        <s v="Product_21"/>
        <s v="Product_22"/>
        <s v="Product_23"/>
        <s v="Product_24"/>
        <s v="Product_25"/>
        <s v="Product_26"/>
        <s v="Product_27"/>
        <s v="Product_28"/>
        <s v="Product_29"/>
        <s v="Product_3"/>
        <s v="Product_30"/>
        <s v="Product_31"/>
        <s v="Product_32"/>
        <s v="Product_33"/>
        <s v="Product_34"/>
        <s v="Product_35"/>
        <s v="Product_36"/>
        <s v="Product_37"/>
        <s v="Product_38"/>
        <s v="Product_39"/>
        <s v="Product_4"/>
        <s v="Product_40"/>
        <s v="Product_5"/>
        <s v="Product_6"/>
        <s v="Product_7"/>
        <s v="Product_8"/>
        <s v="Product_9"/>
      </sharedItems>
    </cacheField>
    <cacheField name="[Table1].[Revenue(order)].[Revenue(order)]" caption="Revenue(order)" numFmtId="0" hierarchy="10" level="1">
      <sharedItems containsSemiMixedTypes="0" containsString="0" containsNumber="1" minValue="2011.45" maxValue="2261" count="5">
        <n v="2156.1000000000004"/>
        <n v="2166.3999999999996"/>
        <n v="2011.45"/>
        <n v="2098.25"/>
        <n v="2261"/>
      </sharedItems>
    </cacheField>
    <cacheField name="[Table1].[ProductName].[ProductName]" caption="ProductName" numFmtId="0" hierarchy="6" level="1">
      <sharedItems count="5">
        <s v="Product_10"/>
        <s v="Product_13"/>
        <s v="Product_24"/>
        <s v="Product_3"/>
        <s v="Product_8"/>
      </sharedItems>
    </cacheField>
    <cacheField name="[Table1].[SalesAmount].[SalesAmount]" caption="SalesAmount" numFmtId="0" hierarchy="5" level="1">
      <sharedItems containsSemiMixedTypes="0" containsNonDate="0" containsString="0"/>
    </cacheField>
    <cacheField name="[Measures].[Sum of SalesAmount]" caption="Sum of SalesAmount" numFmtId="0" hierarchy="31" level="32767"/>
    <cacheField name="[Table1].[Category].[Category]" caption="Category" numFmtId="0" hierarchy="7" level="1">
      <sharedItems containsSemiMixedTypes="0" containsNonDate="0" containsString="0"/>
    </cacheField>
    <cacheField name="[Table1].[OrderDate (Month)].[OrderDate (Month)]" caption="OrderDate (Month)" numFmtId="0" hierarchy="11" level="1">
      <sharedItems containsSemiMixedTypes="0" containsNonDate="0" containsString="0"/>
    </cacheField>
    <cacheField name="[Table1].[Country].[Country]" caption="Country" numFmtId="0" hierarchy="9" level="1">
      <sharedItems containsSemiMixedTypes="0" containsNonDate="0" containsString="0"/>
    </cacheField>
  </cacheFields>
  <cacheHierarchies count="4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2" memberValueDatatype="5" unbalanced="0">
      <fieldsUsage count="2">
        <fieldUsage x="-1"/>
        <fieldUsage x="3"/>
      </fieldsUsage>
    </cacheHierarchy>
    <cacheHierarchy uniqueName="[Table1].[ProductName]" caption="ProductName" attribute="1" defaultMemberUniqueName="[Table1].[ProductName].[All]" allUniqueName="[Table1].[ProductName].[All]" dimensionUniqueName="[Table1]" displayFolder="" count="2" memberValueDatatype="130" unbalanced="0">
      <fieldsUsage count="2">
        <fieldUsage x="-1"/>
        <fieldUsage x="2"/>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5"/>
      </fieldsUsage>
    </cacheHierarchy>
    <cacheHierarchy uniqueName="[Table1].[UnitPrice]" caption="UnitPrice" attribute="1" defaultMemberUniqueName="[Table1].[UnitPrice].[All]" allUniqueName="[Table1].[UnitPrice].[All]" dimensionUniqueName="[Table1]" displayFolder="" count="0" memberValueDatatype="5" unbalanced="0"/>
    <cacheHierarchy uniqueName="[Table1].[Country]" caption="Country" attribute="1" defaultMemberUniqueName="[Table1].[Country].[All]" allUniqueName="[Table1].[Country].[All]" dimensionUniqueName="[Table1]" displayFolder="" count="2" memberValueDatatype="130" unbalanced="0">
      <fieldsUsage count="2">
        <fieldUsage x="-1"/>
        <fieldUsage x="7"/>
      </fieldsUsage>
    </cacheHierarchy>
    <cacheHierarchy uniqueName="[Table1].[Revenue(order)]" caption="Revenue(order)" attribute="1" defaultMemberUniqueName="[Table1].[Revenue(order)].[All]" allUniqueName="[Table1].[Revenue(order)].[All]" dimensionUniqueName="[Table1]" displayFolder="" count="2" memberValueDatatype="5" unbalanced="0">
      <fieldsUsage count="2">
        <fieldUsage x="-1"/>
        <fieldUsage x="1"/>
      </fieldsUsage>
    </cacheHierarchy>
    <cacheHierarchy uniqueName="[Table1].[OrderDate (Month)]" caption="OrderDate (Month)" attribute="1" defaultMemberUniqueName="[Table1].[OrderDate (Month)].[All]" allUniqueName="[Table1].[OrderDate (Month)].[All]" dimensionUniqueName="[Table1]" displayFolder="" count="2" memberValueDatatype="130" unbalanced="0">
      <fieldsUsage count="2">
        <fieldUsage x="-1"/>
        <fieldUsage x="6"/>
      </fieldsUsage>
    </cacheHierarchy>
    <cacheHierarchy uniqueName="[Table2].[CustomerID]" caption="CustomerID" attribute="1" defaultMemberUniqueName="[Table2].[CustomerID].[All]" allUniqueName="[Table2].[CustomerID].[All]" dimensionUniqueName="[Table2]" displayFolder="" count="0" memberValueDatatype="130" unbalanced="0"/>
    <cacheHierarchy uniqueName="[Table2].[CustomerName]" caption="CustomerName" attribute="1" defaultMemberUniqueName="[Table2].[CustomerName].[All]" allUniqueName="[Table2].[CustomerName].[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ignupDate]" caption="SignupDate" attribute="1" time="1" defaultMemberUniqueName="[Table2].[SignupDate].[All]" allUniqueName="[Table2].[SignupDate].[All]" dimensionUniqueName="[Table2]" displayFolder="" count="0" memberValueDatatype="7" unbalanced="0"/>
    <cacheHierarchy uniqueName="[Table3].[ProductID]" caption="ProductID" attribute="1" defaultMemberUniqueName="[Table3].[ProductID].[All]" allUniqueName="[Table3].[ProductID].[All]" dimensionUniqueName="[Table3]" displayFolder="" count="0" memberValueDatatype="130" unbalanced="0"/>
    <cacheHierarchy uniqueName="[Table3].[ProductName]" caption="ProductName" attribute="1" defaultMemberUniqueName="[Table3].[ProductName].[All]" allUniqueName="[Table3].[ProductName].[All]" dimensionUniqueName="[Table3]" displayFolder="" count="2" memberValueDatatype="130" unbalanced="0">
      <fieldsUsage count="2">
        <fieldUsage x="-1"/>
        <fieldUsage x="0"/>
      </fieldsUsage>
    </cacheHierarchy>
    <cacheHierarchy uniqueName="[Table3].[Category]" caption="Category" attribute="1" defaultMemberUniqueName="[Table3].[Category].[All]" allUniqueName="[Table3].[Category].[All]" dimensionUniqueName="[Table3]" displayFolder="" count="0" memberValueDatatype="130" unbalanced="0"/>
    <cacheHierarchy uniqueName="[Table3].[UnitPrice]" caption="UnitPrice" attribute="1" defaultMemberUniqueName="[Table3].[UnitPrice].[All]" allUniqueName="[Table3].[UnitPrice].[All]" dimensionUniqueName="[Table3]" displayFolder="" count="0" memberValueDatatype="5" unbalanced="0"/>
    <cacheHierarchy uniqueName="[Table8].[Product Category]" caption="Product Category" attribute="1" defaultMemberUniqueName="[Table8].[Product Category].[All]" allUniqueName="[Table8].[Product Category].[All]" dimensionUniqueName="[Table8]" displayFolder="" count="0" memberValueDatatype="130" unbalanced="0"/>
    <cacheHierarchy uniqueName="[Table8].[Revenue]" caption="Revenue" attribute="1" defaultMemberUniqueName="[Table8].[Revenue].[All]" allUniqueName="[Table8].[Revenue].[All]" dimensionUniqueName="[Table8]" displayFolder="" count="0" memberValueDatatype="5"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3]" caption="__XL_Count Table3" measure="1" displayFolder="" measureGroup="Table3"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Count of ProductName]" caption="Count of ProductName" measure="1" displayFolder="" measureGroup="Table3" count="0" hidden="1">
      <extLst>
        <ext xmlns:x15="http://schemas.microsoft.com/office/spreadsheetml/2010/11/main" uri="{B97F6D7D-B522-45F9-BDA1-12C45D357490}">
          <x15:cacheHierarchy aggregatedColumn="18"/>
        </ext>
      </extLst>
    </cacheHierarchy>
    <cacheHierarchy uniqueName="[Measures].[Count of ProductName 2]" caption="Count of ProductName 2" measure="1" displayFolder="" measureGroup="Table1" count="0" hidden="1">
      <extLst>
        <ext xmlns:x15="http://schemas.microsoft.com/office/spreadsheetml/2010/11/main" uri="{B97F6D7D-B522-45F9-BDA1-12C45D357490}">
          <x15:cacheHierarchy aggregatedColumn="6"/>
        </ext>
      </extLst>
    </cacheHierarchy>
    <cacheHierarchy uniqueName="[Measures].[Sum of SalesAmount]" caption="Sum of SalesAmount" measure="1" displayFolder="" measureGroup="Table1" count="0" oneField="1" hidden="1">
      <fieldsUsage count="1">
        <fieldUsage x="4"/>
      </fieldsUsage>
      <extLst>
        <ext xmlns:x15="http://schemas.microsoft.com/office/spreadsheetml/2010/11/main" uri="{B97F6D7D-B522-45F9-BDA1-12C45D357490}">
          <x15:cacheHierarchy aggregatedColumn="5"/>
        </ext>
      </extLst>
    </cacheHierarchy>
    <cacheHierarchy uniqueName="[Measures].[Max of SalesAmount]" caption="Max of SalesAmount" measure="1" displayFolder="" measureGroup="Table1"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Table8"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4"/>
        </ext>
      </extLst>
    </cacheHierarchy>
    <cacheHierarchy uniqueName="[Measures].[Max of Quantity]" caption="Max of Quantity" measure="1" displayFolder="" measureGroup="Table1" count="0" hidden="1">
      <extLst>
        <ext xmlns:x15="http://schemas.microsoft.com/office/spreadsheetml/2010/11/main" uri="{B97F6D7D-B522-45F9-BDA1-12C45D357490}">
          <x15:cacheHierarchy aggregatedColumn="4"/>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5"/>
        </ext>
      </extLst>
    </cacheHierarchy>
    <cacheHierarchy uniqueName="[Measures].[Sum of Revenue(order)]" caption="Sum of Revenue(order)" measure="1" displayFolder="" measureGroup="Table1" count="0" hidden="1">
      <extLst>
        <ext xmlns:x15="http://schemas.microsoft.com/office/spreadsheetml/2010/11/main" uri="{B97F6D7D-B522-45F9-BDA1-12C45D357490}">
          <x15:cacheHierarchy aggregatedColumn="10"/>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8" uniqueName="[Table8]" caption="Table8"/>
  </dimensions>
  <measureGroups count="4">
    <measureGroup name="Table1" caption="Table1"/>
    <measureGroup name="Table2" caption="Table2"/>
    <measureGroup name="Table3" caption="Table3"/>
    <measureGroup name="Table8" caption="Table8"/>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48.809061111111" backgroundQuery="1" createdVersion="3" refreshedVersion="7" minRefreshableVersion="3" recordCount="0" supportSubquery="1" supportAdvancedDrill="1" xr:uid="{A370EAD5-895A-4E20-89B8-05254039B2BB}">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Amount]" caption="SalesAmount" attribute="1" defaultMemberUniqueName="[Table1].[SalesAmount].[All]" allUniqueName="[Table1].[SalesAmount].[All]" dimensionUniqueName="[Table1]" displayFolder="" count="0" memberValueDatatype="5" unbalanced="0"/>
    <cacheHierarchy uniqueName="[Table1].[ProductName]" caption="ProductName" attribute="1" defaultMemberUniqueName="[Table1].[ProductName].[All]" allUniqueName="[Table1].[Product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UnitPrice]" caption="UnitPrice" attribute="1" defaultMemberUniqueName="[Table1].[UnitPrice].[All]" allUniqueName="[Table1].[UnitPrice].[All]" dimensionUniqueName="[Table1]" displayFolder="" count="0" memberValueDatatype="5" unbalanced="0"/>
    <cacheHierarchy uniqueName="[Table1].[Country]" caption="Country" attribute="1" defaultMemberUniqueName="[Table1].[Country].[All]" allUniqueName="[Table1].[Country].[All]" dimensionUniqueName="[Table1]" displayFolder="" count="2" memberValueDatatype="130" unbalanced="0"/>
    <cacheHierarchy uniqueName="[Table1].[Revenue(order)]" caption="Revenue(order)" attribute="1" defaultMemberUniqueName="[Table1].[Revenue(order)].[All]" allUniqueName="[Table1].[Revenue(order)].[All]" dimensionUniqueName="[Table1]" displayFolder="" count="0" memberValueDatatype="5" unbalanced="0"/>
    <cacheHierarchy uniqueName="[Table1].[OrderDate (Month)]" caption="OrderDate (Month)" attribute="1" defaultMemberUniqueName="[Table1].[OrderDate (Month)].[All]" allUniqueName="[Table1].[OrderDate (Month)].[All]" dimensionUniqueName="[Table1]" displayFolder="" count="2" memberValueDatatype="130" unbalanced="0"/>
    <cacheHierarchy uniqueName="[Table2].[CustomerID]" caption="CustomerID" attribute="1" defaultMemberUniqueName="[Table2].[CustomerID].[All]" allUniqueName="[Table2].[CustomerID].[All]" dimensionUniqueName="[Table2]" displayFolder="" count="0" memberValueDatatype="130" unbalanced="0"/>
    <cacheHierarchy uniqueName="[Table2].[CustomerName]" caption="CustomerName" attribute="1" defaultMemberUniqueName="[Table2].[CustomerName].[All]" allUniqueName="[Table2].[CustomerName].[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SignupDate]" caption="SignupDate" attribute="1" time="1" defaultMemberUniqueName="[Table2].[SignupDate].[All]" allUniqueName="[Table2].[SignupDate].[All]" dimensionUniqueName="[Table2]" displayFolder="" count="0" memberValueDatatype="7" unbalanced="0"/>
    <cacheHierarchy uniqueName="[Table3].[ProductID]" caption="ProductID" attribute="1" defaultMemberUniqueName="[Table3].[ProductID].[All]" allUniqueName="[Table3].[ProductID].[All]" dimensionUniqueName="[Table3]" displayFolder="" count="0" memberValueDatatype="130" unbalanced="0"/>
    <cacheHierarchy uniqueName="[Table3].[ProductName]" caption="ProductName" attribute="1" defaultMemberUniqueName="[Table3].[ProductName].[All]" allUniqueName="[Table3].[Product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UnitPrice]" caption="UnitPrice" attribute="1" defaultMemberUniqueName="[Table3].[UnitPrice].[All]" allUniqueName="[Table3].[UnitPrice].[All]" dimensionUniqueName="[Table3]" displayFolder="" count="0" memberValueDatatype="5" unbalanced="0"/>
    <cacheHierarchy uniqueName="[Table8].[Product Category]" caption="Product Category" attribute="1" defaultMemberUniqueName="[Table8].[Product Category].[All]" allUniqueName="[Table8].[Product Category].[All]" dimensionUniqueName="[Table8]" displayFolder="" count="0" memberValueDatatype="130" unbalanced="0"/>
    <cacheHierarchy uniqueName="[Table8].[Revenue]" caption="Revenue" attribute="1" defaultMemberUniqueName="[Table8].[Revenue].[All]" allUniqueName="[Table8].[Revenue].[All]" dimensionUniqueName="[Table8]" displayFolder="" count="0" memberValueDatatype="5"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3]" caption="__XL_Count Table3" measure="1" displayFolder="" measureGroup="Table3" count="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Count of ProductName]" caption="Count of ProductName" measure="1" displayFolder="" measureGroup="Table3" count="0" hidden="1">
      <extLst>
        <ext xmlns:x15="http://schemas.microsoft.com/office/spreadsheetml/2010/11/main" uri="{B97F6D7D-B522-45F9-BDA1-12C45D357490}">
          <x15:cacheHierarchy aggregatedColumn="18"/>
        </ext>
      </extLst>
    </cacheHierarchy>
    <cacheHierarchy uniqueName="[Measures].[Count of ProductName 2]" caption="Count of ProductName 2" measure="1" displayFolder="" measureGroup="Table1" count="0" hidden="1">
      <extLst>
        <ext xmlns:x15="http://schemas.microsoft.com/office/spreadsheetml/2010/11/main" uri="{B97F6D7D-B522-45F9-BDA1-12C45D357490}">
          <x15:cacheHierarchy aggregatedColumn="6"/>
        </ext>
      </extLst>
    </cacheHierarchy>
    <cacheHierarchy uniqueName="[Measures].[Sum of SalesAmount]" caption="Sum of SalesAmount" measure="1" displayFolder="" measureGroup="Table1" count="0" hidden="1">
      <extLst>
        <ext xmlns:x15="http://schemas.microsoft.com/office/spreadsheetml/2010/11/main" uri="{B97F6D7D-B522-45F9-BDA1-12C45D357490}">
          <x15:cacheHierarchy aggregatedColumn="5"/>
        </ext>
      </extLst>
    </cacheHierarchy>
    <cacheHierarchy uniqueName="[Measures].[Max of SalesAmount]" caption="Max of SalesAmount" measure="1" displayFolder="" measureGroup="Table1"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Table8" count="0" hidden="1">
      <extLst>
        <ext xmlns:x15="http://schemas.microsoft.com/office/spreadsheetml/2010/11/main" uri="{B97F6D7D-B522-45F9-BDA1-12C45D357490}">
          <x15:cacheHierarchy aggregatedColumn="22"/>
        </ext>
      </extLst>
    </cacheHierarchy>
    <cacheHierarchy uniqueName="[Measures].[Count of Category]" caption="Count of Category" measure="1" displayFolder="" measureGroup="Table1"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4"/>
        </ext>
      </extLst>
    </cacheHierarchy>
    <cacheHierarchy uniqueName="[Measures].[Count of Quantity]" caption="Count of Quantity" measure="1" displayFolder="" measureGroup="Table1" count="0" hidden="1">
      <extLst>
        <ext xmlns:x15="http://schemas.microsoft.com/office/spreadsheetml/2010/11/main" uri="{B97F6D7D-B522-45F9-BDA1-12C45D357490}">
          <x15:cacheHierarchy aggregatedColumn="4"/>
        </ext>
      </extLst>
    </cacheHierarchy>
    <cacheHierarchy uniqueName="[Measures].[Max of Quantity]" caption="Max of Quantity" measure="1" displayFolder="" measureGroup="Table1" count="0" hidden="1">
      <extLst>
        <ext xmlns:x15="http://schemas.microsoft.com/office/spreadsheetml/2010/11/main" uri="{B97F6D7D-B522-45F9-BDA1-12C45D357490}">
          <x15:cacheHierarchy aggregatedColumn="4"/>
        </ext>
      </extLst>
    </cacheHierarchy>
    <cacheHierarchy uniqueName="[Measures].[Count of SalesAmount]" caption="Count of SalesAmount" measure="1" displayFolder="" measureGroup="Table1" count="0" hidden="1">
      <extLst>
        <ext xmlns:x15="http://schemas.microsoft.com/office/spreadsheetml/2010/11/main" uri="{B97F6D7D-B522-45F9-BDA1-12C45D357490}">
          <x15:cacheHierarchy aggregatedColumn="5"/>
        </ext>
      </extLst>
    </cacheHierarchy>
    <cacheHierarchy uniqueName="[Measures].[Sum of Revenue(order)]" caption="Sum of Revenue(order)" measure="1" displayFolder="" measureGroup="Table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8892021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B34DF7-82AF-430C-88B5-106AC6C13C5F}" name="PivotTable17" cacheId="2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2">
  <location ref="D3:E9"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SalesAmount" fld="1" subtotal="count" showDataAs="percentOfTotal" baseField="0" baseItem="0" numFmtId="10"/>
  </dataFields>
  <formats count="2">
    <format dxfId="33">
      <pivotArea outline="0" collapsedLevelsAreSubtotals="1" fieldPosition="0"/>
    </format>
    <format dxfId="32">
      <pivotArea outline="0" fieldPosition="0">
        <references count="1">
          <reference field="4294967294" count="1">
            <x v="0"/>
          </reference>
        </references>
      </pivotArea>
    </format>
  </formats>
  <chartFormats count="6">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0" count="1" selected="0">
            <x v="0"/>
          </reference>
        </references>
      </pivotArea>
    </chartFormat>
    <chartFormat chart="11" format="8">
      <pivotArea type="data" outline="0" fieldPosition="0">
        <references count="2">
          <reference field="4294967294" count="1" selected="0">
            <x v="0"/>
          </reference>
          <reference field="0" count="1" selected="0">
            <x v="1"/>
          </reference>
        </references>
      </pivotArea>
    </chartFormat>
    <chartFormat chart="11" format="9">
      <pivotArea type="data" outline="0" fieldPosition="0">
        <references count="2">
          <reference field="4294967294" count="1" selected="0">
            <x v="0"/>
          </reference>
          <reference field="0" count="1" selected="0">
            <x v="2"/>
          </reference>
        </references>
      </pivotArea>
    </chartFormat>
    <chartFormat chart="11" format="10">
      <pivotArea type="data" outline="0" fieldPosition="0">
        <references count="2">
          <reference field="4294967294" count="1" selected="0">
            <x v="0"/>
          </reference>
          <reference field="0" count="1" selected="0">
            <x v="3"/>
          </reference>
        </references>
      </pivotArea>
    </chartFormat>
    <chartFormat chart="11" format="11">
      <pivotArea type="data" outline="0" fieldPosition="0">
        <references count="2">
          <reference field="4294967294" count="1" selected="0">
            <x v="0"/>
          </reference>
          <reference field="0" count="1" selected="0">
            <x v="4"/>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Sum of Quantity"/>
    <pivotHierarchy dragToData="1" caption="Count of Quantity"/>
    <pivotHierarchy dragToData="1"/>
    <pivotHierarchy dragToData="1" caption="Count of SalesAmount"/>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Analytics_Practice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D2EC13-48ED-4DD7-B1EF-70F9A6713AA0}" name="PivotTable9" cacheId="1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3:B9"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Amount" fld="1" baseField="0" baseItem="0"/>
  </dataFields>
  <formats count="1">
    <format dxfId="34">
      <pivotArea outline="0" collapsedLevelsAreSubtotals="1" fieldPosition="0"/>
    </format>
  </formats>
  <chartFormats count="6">
    <chartFormat chart="2" format="21" series="1">
      <pivotArea type="data" outline="0" fieldPosition="0">
        <references count="1">
          <reference field="4294967294" count="1" selected="0">
            <x v="0"/>
          </reference>
        </references>
      </pivotArea>
    </chartFormat>
    <chartFormat chart="2" format="22">
      <pivotArea type="data" outline="0" fieldPosition="0">
        <references count="2">
          <reference field="4294967294" count="1" selected="0">
            <x v="0"/>
          </reference>
          <reference field="0" count="1" selected="0">
            <x v="2"/>
          </reference>
        </references>
      </pivotArea>
    </chartFormat>
    <chartFormat chart="2" format="23">
      <pivotArea type="data" outline="0" fieldPosition="0">
        <references count="2">
          <reference field="4294967294" count="1" selected="0">
            <x v="0"/>
          </reference>
          <reference field="0" count="1" selected="0">
            <x v="3"/>
          </reference>
        </references>
      </pivotArea>
    </chartFormat>
    <chartFormat chart="2" format="24">
      <pivotArea type="data" outline="0" fieldPosition="0">
        <references count="2">
          <reference field="4294967294" count="1" selected="0">
            <x v="0"/>
          </reference>
          <reference field="0" count="1" selected="0">
            <x v="4"/>
          </reference>
        </references>
      </pivotArea>
    </chartFormat>
    <chartFormat chart="2" format="25">
      <pivotArea type="data" outline="0" fieldPosition="0">
        <references count="2">
          <reference field="4294967294" count="1" selected="0">
            <x v="0"/>
          </reference>
          <reference field="0" count="1" selected="0">
            <x v="1"/>
          </reference>
        </references>
      </pivotArea>
    </chartFormat>
    <chartFormat chart="2" format="26">
      <pivotArea type="data" outline="0" fieldPosition="0">
        <references count="2">
          <reference field="4294967294" count="1" selected="0">
            <x v="0"/>
          </reference>
          <reference field="0"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3B3399-5C61-47BC-B7DC-86195916E48D}" name="PivotTable12" cacheId="1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A12:B19" firstHeaderRow="1" firstDataRow="1" firstDataCol="1"/>
  <pivotFields count="5">
    <pivotField axis="axisRow" allDrilled="1" subtotalTop="0" showAll="0" dataSourceSort="1" defaultSubtotal="0" defaultAttributeDrillState="1">
      <items count="1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s>
    </pivotField>
    <pivotField axis="axisRow" allDrilled="1" subtotalTop="0" showAll="0" dataSourceSort="1" defaultSubtotal="0">
      <items count="6">
        <item x="0" e="0"/>
        <item x="1" e="0"/>
        <item x="2" e="0"/>
        <item x="3" e="0"/>
        <item x="4" e="0"/>
        <item x="5"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1"/>
    <field x="0"/>
  </rowFields>
  <rowItems count="7">
    <i>
      <x/>
    </i>
    <i>
      <x v="1"/>
    </i>
    <i>
      <x v="2"/>
    </i>
    <i>
      <x v="3"/>
    </i>
    <i>
      <x v="4"/>
    </i>
    <i>
      <x v="5"/>
    </i>
    <i t="grand">
      <x/>
    </i>
  </rowItems>
  <colItems count="1">
    <i/>
  </colItems>
  <dataFields count="1">
    <dataField name="Sum of Revenue(order)" fld="2" baseField="0" baseItem="0"/>
  </dataFields>
  <formats count="7">
    <format dxfId="41">
      <pivotArea outline="0" collapsedLevelsAreSubtotals="1" fieldPosition="0"/>
    </format>
    <format dxfId="40">
      <pivotArea type="all" dataOnly="0" outline="0" fieldPosition="0"/>
    </format>
    <format dxfId="39">
      <pivotArea outline="0" collapsedLevelsAreSubtotals="1" fieldPosition="0"/>
    </format>
    <format dxfId="38">
      <pivotArea field="1" type="button" dataOnly="0" labelOnly="1" outline="0" axis="axisRow" fieldPosition="0"/>
    </format>
    <format dxfId="37">
      <pivotArea dataOnly="0" labelOnly="1" fieldPosition="0">
        <references count="1">
          <reference field="1" count="0"/>
        </references>
      </pivotArea>
    </format>
    <format dxfId="36">
      <pivotArea dataOnly="0" labelOnly="1" grandRow="1" outline="0" fieldPosition="0"/>
    </format>
    <format dxfId="35">
      <pivotArea dataOnly="0" labelOnly="1" outline="0" axis="axisValues" fieldPosition="0"/>
    </format>
  </formats>
  <chartFormats count="7">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1" count="1" selected="0">
            <x v="1"/>
          </reference>
        </references>
      </pivotArea>
    </chartFormat>
    <chartFormat chart="2" format="16">
      <pivotArea type="data" outline="0" fieldPosition="0">
        <references count="2">
          <reference field="4294967294" count="1" selected="0">
            <x v="0"/>
          </reference>
          <reference field="1" count="1" selected="0">
            <x v="0"/>
          </reference>
        </references>
      </pivotArea>
    </chartFormat>
    <chartFormat chart="2" format="17">
      <pivotArea type="data" outline="0" fieldPosition="0">
        <references count="2">
          <reference field="4294967294" count="1" selected="0">
            <x v="0"/>
          </reference>
          <reference field="1" count="1" selected="0">
            <x v="2"/>
          </reference>
        </references>
      </pivotArea>
    </chartFormat>
    <chartFormat chart="2" format="18">
      <pivotArea type="data" outline="0" fieldPosition="0">
        <references count="2">
          <reference field="4294967294" count="1" selected="0">
            <x v="0"/>
          </reference>
          <reference field="1" count="1" selected="0">
            <x v="3"/>
          </reference>
        </references>
      </pivotArea>
    </chartFormat>
    <chartFormat chart="2" format="19">
      <pivotArea type="data" outline="0" fieldPosition="0">
        <references count="2">
          <reference field="4294967294" count="1" selected="0">
            <x v="0"/>
          </reference>
          <reference field="1" count="1" selected="0">
            <x v="4"/>
          </reference>
        </references>
      </pivotArea>
    </chartFormat>
    <chartFormat chart="2" format="20">
      <pivotArea type="data" outline="0" fieldPosition="0">
        <references count="2">
          <reference field="4294967294" count="1" selected="0">
            <x v="0"/>
          </reference>
          <reference field="1" count="1" selected="0">
            <x v="5"/>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rowHierarchiesUsage count="2">
    <rowHierarchyUsage hierarchyUsage="1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Analytics_Practice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FB675D-3BAF-4816-B3CE-E181FE7CBDF8}" name="PivotTable13" cacheId="1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9">
  <location ref="D24:F30" firstHeaderRow="0"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i="1">
      <x v="1"/>
    </i>
  </colItems>
  <dataFields count="2">
    <dataField name="Sum of SalesAmount" fld="0" baseField="0" baseItem="0"/>
    <dataField name="Count of Quantity" fld="2" subtotal="count" baseField="1" baseItem="0" numFmtId="2"/>
  </dataFields>
  <formats count="3">
    <format dxfId="44">
      <pivotArea outline="0" collapsedLevelsAreSubtotals="1" fieldPosition="0"/>
    </format>
    <format dxfId="43">
      <pivotArea outline="0" collapsedLevelsAreSubtotals="1" fieldPosition="0">
        <references count="1">
          <reference field="4294967294" count="1" selected="0">
            <x v="1"/>
          </reference>
        </references>
      </pivotArea>
    </format>
    <format dxfId="42">
      <pivotArea dataOnly="0" labelOnly="1" outline="0" fieldPosition="0">
        <references count="1">
          <reference field="4294967294" count="1">
            <x v="1"/>
          </reference>
        </references>
      </pivotArea>
    </format>
  </formats>
  <chartFormats count="15">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pivotArea type="data" outline="0" fieldPosition="0">
        <references count="2">
          <reference field="4294967294" count="1" selected="0">
            <x v="1"/>
          </reference>
          <reference field="1" count="1" selected="0">
            <x v="2"/>
          </reference>
        </references>
      </pivotArea>
    </chartFormat>
    <chartFormat chart="8" format="7">
      <pivotArea type="data" outline="0" fieldPosition="0">
        <references count="2">
          <reference field="4294967294" count="1" selected="0">
            <x v="0"/>
          </reference>
          <reference field="1" count="1" selected="0">
            <x v="3"/>
          </reference>
        </references>
      </pivotArea>
    </chartFormat>
    <chartFormat chart="8" format="8">
      <pivotArea type="data" outline="0" fieldPosition="0">
        <references count="2">
          <reference field="4294967294" count="1" selected="0">
            <x v="1"/>
          </reference>
          <reference field="1" count="1" selected="0">
            <x v="3"/>
          </reference>
        </references>
      </pivotArea>
    </chartFormat>
    <chartFormat chart="8" format="9">
      <pivotArea type="data" outline="0" fieldPosition="0">
        <references count="2">
          <reference field="4294967294" count="1" selected="0">
            <x v="0"/>
          </reference>
          <reference field="1" count="1" selected="0">
            <x v="4"/>
          </reference>
        </references>
      </pivotArea>
    </chartFormat>
    <chartFormat chart="8" format="10">
      <pivotArea type="data" outline="0" fieldPosition="0">
        <references count="2">
          <reference field="4294967294" count="1" selected="0">
            <x v="1"/>
          </reference>
          <reference field="1" count="1" selected="0">
            <x v="4"/>
          </reference>
        </references>
      </pivotArea>
    </chartFormat>
    <chartFormat chart="8" format="11">
      <pivotArea type="data" outline="0" fieldPosition="0">
        <references count="2">
          <reference field="4294967294" count="1" selected="0">
            <x v="0"/>
          </reference>
          <reference field="1" count="1" selected="0">
            <x v="1"/>
          </reference>
        </references>
      </pivotArea>
    </chartFormat>
    <chartFormat chart="8" format="12">
      <pivotArea type="data" outline="0" fieldPosition="0">
        <references count="2">
          <reference field="4294967294" count="1" selected="0">
            <x v="1"/>
          </reference>
          <reference field="1" count="1" selected="0">
            <x v="1"/>
          </reference>
        </references>
      </pivotArea>
    </chartFormat>
    <chartFormat chart="8" format="13">
      <pivotArea type="data" outline="0" fieldPosition="0">
        <references count="2">
          <reference field="4294967294" count="1" selected="0">
            <x v="1"/>
          </reference>
          <reference field="1" count="1" selected="0">
            <x v="0"/>
          </reference>
        </references>
      </pivotArea>
    </chartFormat>
    <chartFormat chart="8" format="14">
      <pivotArea type="data" outline="0" fieldPosition="0">
        <references count="2">
          <reference field="4294967294" count="1" selected="0">
            <x v="0"/>
          </reference>
          <reference field="1"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Analytics_Practice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840B26-C3B8-43CB-AD4E-FFCD7333CDE5}" name="PivotTable11" cacheId="2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24:B30" firstHeaderRow="1" firstDataRow="1" firstDataCol="1" rowPageCount="1" colPageCount="1"/>
  <pivotFields count="8">
    <pivotField allDrilled="1" subtotalTop="0" showAll="0" sortType="ascending"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llDrilled="1" subtotalTop="0" showAll="0" sortType="ascending" defaultSubtotal="0" defaultAttributeDrillState="1">
      <items count="5">
        <item x="2"/>
        <item x="3"/>
        <item x="0"/>
        <item x="1"/>
        <item x="4"/>
      </items>
    </pivotField>
    <pivotField axis="axisRow" allDrilled="1" subtotalTop="0" showAll="0" measureFilter="1" dataSourceSort="1" defaultSubtotal="0" defaultAttributeDrillState="1">
      <items count="5">
        <item x="0"/>
        <item x="1"/>
        <item x="2"/>
        <item x="3"/>
        <item x="4"/>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pageFields count="1">
    <pageField fld="3" hier="5" name="[Table1].[SalesAmount].[All]" cap="All"/>
  </pageFields>
  <dataFields count="1">
    <dataField name="Sum of SalesAmount" fld="4" baseField="2" baseItem="0"/>
  </dataFields>
  <formats count="5">
    <format dxfId="49">
      <pivotArea outline="0" collapsedLevelsAreSubtotals="1" fieldPosition="0"/>
    </format>
    <format dxfId="48">
      <pivotArea outline="0" fieldPosition="0">
        <references count="1">
          <reference field="4294967294" count="1">
            <x v="0"/>
          </reference>
        </references>
      </pivotArea>
    </format>
    <format dxfId="47">
      <pivotArea collapsedLevelsAreSubtotals="1" fieldPosition="0">
        <references count="1">
          <reference field="2" count="1">
            <x v="0"/>
          </reference>
        </references>
      </pivotArea>
    </format>
    <format dxfId="46">
      <pivotArea collapsedLevelsAreSubtotals="1" fieldPosition="0">
        <references count="1">
          <reference field="2" count="4">
            <x v="1"/>
            <x v="2"/>
            <x v="3"/>
            <x v="4"/>
          </reference>
        </references>
      </pivotArea>
    </format>
    <format dxfId="45">
      <pivotArea grandRow="1" outline="0" collapsedLevelsAreSubtotals="1" fieldPosition="0"/>
    </format>
  </formats>
  <chartFormats count="6">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2" count="1" selected="0">
            <x v="0"/>
          </reference>
        </references>
      </pivotArea>
    </chartFormat>
    <chartFormat chart="2" format="24">
      <pivotArea type="data" outline="0" fieldPosition="0">
        <references count="2">
          <reference field="4294967294" count="1" selected="0">
            <x v="0"/>
          </reference>
          <reference field="2" count="1" selected="0">
            <x v="2"/>
          </reference>
        </references>
      </pivotArea>
    </chartFormat>
    <chartFormat chart="2" format="25">
      <pivotArea type="data" outline="0" fieldPosition="0">
        <references count="2">
          <reference field="4294967294" count="1" selected="0">
            <x v="0"/>
          </reference>
          <reference field="2" count="1" selected="0">
            <x v="4"/>
          </reference>
        </references>
      </pivotArea>
    </chartFormat>
    <chartFormat chart="2" format="26">
      <pivotArea type="data" outline="0" fieldPosition="0">
        <references count="2">
          <reference field="4294967294" count="1" selected="0">
            <x v="0"/>
          </reference>
          <reference field="2" count="1" selected="0">
            <x v="1"/>
          </reference>
        </references>
      </pivotArea>
    </chartFormat>
    <chartFormat chart="2" format="27">
      <pivotArea type="data" outline="0" fieldPosition="0">
        <references count="2">
          <reference field="4294967294" count="1" selected="0">
            <x v="0"/>
          </reference>
          <reference field="2" count="1" selected="0">
            <x v="3"/>
          </reference>
        </references>
      </pivotArea>
    </chartFormat>
  </chartFormats>
  <pivotHierarchies count="40">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filters count="1">
    <filter fld="2" type="count" id="2" iMeasureHier="31">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524F98-3434-4693-831A-04FEC77167C9}" name="PivotTable10" cacheId="1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D12:E17"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order)" fld="1" baseField="0" baseItem="0"/>
  </dataFields>
  <formats count="1">
    <format dxfId="50">
      <pivotArea outline="0" collapsedLevelsAreSubtotals="1" fieldPosition="0"/>
    </format>
  </formats>
  <chartFormats count="1">
    <chartFormat chart="2" format="8"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Analytics_Practice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7E1E07-E017-478C-BEA9-A9C9451FE55E}" sourceName="[Table1].[Category]">
  <pivotTables>
    <pivotTable tabId="9" name="PivotTable11"/>
    <pivotTable tabId="9" name="PivotTable10"/>
    <pivotTable tabId="9" name="PivotTable12"/>
    <pivotTable tabId="9" name="PivotTable13"/>
    <pivotTable tabId="9" name="PivotTable9"/>
    <pivotTable tabId="9" name="PivotTable17"/>
  </pivotTables>
  <data>
    <olap pivotCacheId="1889202187">
      <levels count="2">
        <level uniqueName="[Table1].[Category].[(All)]" sourceCaption="(All)" count="0"/>
        <level uniqueName="[Table1].[Category].[Category]" sourceCaption="Category" count="5">
          <ranges>
            <range startItem="0">
              <i n="[Table1].[Category].&amp;[Beauty]" c="Beauty"/>
              <i n="[Table1].[Category].&amp;[Clothing]" c="Clothing"/>
              <i n="[Table1].[Category].&amp;[Electronics]" c="Electronics"/>
              <i n="[Table1].[Category].&amp;[Home]" c="Home"/>
              <i n="[Table1].[Category].&amp;[Sports]" c="Sports"/>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Month" xr10:uid="{CA5A80CF-5E93-4149-B03A-AD9BCA96554E}" sourceName="[Table1].[OrderDate (Month)]">
  <pivotTables>
    <pivotTable tabId="9" name="PivotTable11"/>
    <pivotTable tabId="9" name="PivotTable10"/>
    <pivotTable tabId="9" name="PivotTable12"/>
    <pivotTable tabId="9" name="PivotTable13"/>
    <pivotTable tabId="9" name="PivotTable9"/>
    <pivotTable tabId="9" name="PivotTable17"/>
  </pivotTables>
  <data>
    <olap pivotCacheId="1889202187">
      <levels count="2">
        <level uniqueName="[Table1].[OrderDate (Month)].[(All)]" sourceCaption="(All)" count="0"/>
        <level uniqueName="[Table1].[OrderDate (Month)].[OrderDate (Month)]" sourceCaption="OrderDate (Month)" count="6">
          <ranges>
            <range startItem="0">
              <i n="[Table1].[OrderDate (Month)].&amp;[Jan]" c="Jan"/>
              <i n="[Table1].[OrderDate (Month)].&amp;[Feb]" c="Feb"/>
              <i n="[Table1].[OrderDate (Month)].&amp;[Mar]" c="Mar"/>
              <i n="[Table1].[OrderDate (Month)].&amp;[Apr]" c="Apr"/>
              <i n="[Table1].[OrderDate (Month)].&amp;[May]" c="May"/>
              <i n="[Table1].[OrderDate (Month)].&amp;[Jun]" c="Jun"/>
            </range>
          </ranges>
        </level>
      </levels>
      <selections count="1">
        <selection n="[Table1].[Order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3864037-D2D3-4925-A349-70024D59FD73}" sourceName="[Table1].[Country]">
  <pivotTables>
    <pivotTable tabId="9" name="PivotTable11"/>
    <pivotTable tabId="9" name="PivotTable10"/>
    <pivotTable tabId="9" name="PivotTable12"/>
    <pivotTable tabId="9" name="PivotTable13"/>
    <pivotTable tabId="9" name="PivotTable9"/>
    <pivotTable tabId="9" name="PivotTable17"/>
  </pivotTables>
  <data>
    <olap pivotCacheId="1889202187">
      <levels count="2">
        <level uniqueName="[Table1].[Country].[(All)]" sourceCaption="(All)" count="0"/>
        <level uniqueName="[Table1].[Country].[Country]" sourceCaption="Country" count="4">
          <ranges>
            <range startItem="0">
              <i n="[Table1].[Country].&amp;[Canada]" c="Canada"/>
              <i n="[Table1].[Country].&amp;[India]" c="India"/>
              <i n="[Table1].[Country].&amp;[UK]" c="UK"/>
              <i n="[Table1].[Country].&amp;[US]" c="US"/>
            </range>
          </ranges>
        </level>
      </levels>
      <selections count="1">
        <selection n="[Table1].[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8BDA103-07E0-49AC-A519-6A988AFE1C28}" cache="Slicer_Category" caption="Category" level="1" rowHeight="230716"/>
  <slicer name="OrderDate (Month)" xr10:uid="{5C3AD50A-0C2A-4541-929F-9E48CC39372C}" cache="Slicer_OrderDate__Month" caption="OrderDate (Month)" level="1" rowHeight="230716"/>
  <slicer name="Country" xr10:uid="{9BC3DB21-5152-47A9-A74F-BFC91F271A23}" cache="Slicer_Country" caption="Country" level="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5009843-9FEF-4047-87C5-B68D32C25741}" cache="Slicer_Category" caption="Category" level="1" rowHeight="230716"/>
  <slicer name="OrderDate (Month) 1" xr10:uid="{480AA6AD-9649-4AD9-B919-CEC0607AE14B}" cache="Slicer_OrderDate__Month" caption="OrderDate (Month)" level="1" rowHeight="230716"/>
  <slicer name="Country 1" xr10:uid="{08B42289-0FAB-446D-8E15-CB9E58573A06}" cache="Slicer_Country" caption="Country" level="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9084A2-A3BC-48F8-B636-D70EC5145406}" name="Table1" displayName="Table1" ref="A1:K361" totalsRowShown="0" headerRowDxfId="31" headerRowBorderDxfId="30" tableBorderDxfId="29">
  <autoFilter ref="A1:K361" xr:uid="{B29084A2-A3BC-48F8-B636-D70EC5145406}"/>
  <tableColumns count="11">
    <tableColumn id="1" xr3:uid="{5DB6C290-1D12-4207-8918-250F6AB35BE7}" name="OrderID"/>
    <tableColumn id="2" xr3:uid="{136AB459-0BC8-4D88-8FA5-B7ED1A0F0338}" name="OrderDate" dataDxfId="28"/>
    <tableColumn id="3" xr3:uid="{DE483300-FA3B-421B-8C3A-126C037EE9FD}" name="CustomerID"/>
    <tableColumn id="4" xr3:uid="{EAF9E583-D47B-4255-B266-43B3E23646B8}" name="ProductID"/>
    <tableColumn id="5" xr3:uid="{4AD1CD66-BDFA-408B-8B0B-7BF46C4FAD34}" name="Quantity"/>
    <tableColumn id="6" xr3:uid="{6B298392-8590-4952-AA3A-AE830E51C46E}" name="SalesAmount"/>
    <tableColumn id="7" xr3:uid="{AAAD37BE-52CD-4CB0-AFC5-03338FF778C2}" name="ProductName">
      <calculatedColumnFormula>VLOOKUP(Table1[[#This Row],[ProductID]],Products!A:D,2)</calculatedColumnFormula>
    </tableColumn>
    <tableColumn id="8" xr3:uid="{7BA73DCF-11F9-407F-AD03-EFB7F16E2494}" name="Category">
      <calculatedColumnFormula>VLOOKUP(Table1[[#This Row],[ProductID]],Products!A:D,3)</calculatedColumnFormula>
    </tableColumn>
    <tableColumn id="9" xr3:uid="{FEC270EF-5289-4A1C-BB44-95A3B5EC5C8A}" name="UnitPrice">
      <calculatedColumnFormula>VLOOKUP(Table1[[#This Row],[ProductID]],Products!$A:$D,4)</calculatedColumnFormula>
    </tableColumn>
    <tableColumn id="10" xr3:uid="{528BB6CD-64E6-455F-888F-628F8F3E87C1}" name="Country">
      <calculatedColumnFormula>VLOOKUP(Table1[[#This Row],[CustomerID]],Customer_info!$A:$D,4)</calculatedColumnFormula>
    </tableColumn>
    <tableColumn id="11" xr3:uid="{D961AFC3-4F77-4B98-889B-9D545DB5727E}" name="Revenue(order)">
      <calculatedColumnFormula>Table1[[#This Row],[Quantity]]*Table1[[#This Row],[UnitPrice]]</calculatedColumnFormula>
    </tableColumn>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8A21C06-8E34-404C-B3B5-8976C47E40B8}" name="Table6" displayName="Table6" ref="N9:O14" totalsRowShown="0" headerRowDxfId="27">
  <autoFilter ref="N9:O14" xr:uid="{38A21C06-8E34-404C-B3B5-8976C47E40B8}"/>
  <tableColumns count="2">
    <tableColumn id="1" xr3:uid="{77F83780-2E57-45BB-8DC2-54647D754961}" name="Country"/>
    <tableColumn id="2" xr3:uid="{FE2B321D-C54E-4D63-B0BD-9554ED9617AD}" name="Revenue"/>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2ACC24F-7CC4-4655-AD3C-DD889B68A310}" name="Table7" displayName="Table7" ref="N16:O22" totalsRowShown="0" headerRowDxfId="26">
  <autoFilter ref="N16:O22" xr:uid="{C2ACC24F-7CC4-4655-AD3C-DD889B68A310}"/>
  <tableColumns count="2">
    <tableColumn id="1" xr3:uid="{EA8112CC-BF3D-4538-8175-D7C9F5264229}" name="Category"/>
    <tableColumn id="2" xr3:uid="{173E49AA-FF76-4C03-9816-84708F593329}" name="Revenue"/>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94FF25-BBA8-4082-9539-426B1BA803CF}" name="Table3" displayName="Table3" ref="A1:D41" totalsRowShown="0" headerRowDxfId="25" headerRowBorderDxfId="24" tableBorderDxfId="23">
  <autoFilter ref="A1:D41" xr:uid="{8D94FF25-BBA8-4082-9539-426B1BA803CF}"/>
  <tableColumns count="4">
    <tableColumn id="1" xr3:uid="{35F05DCE-43B0-40E0-BCC1-FBF58793E210}" name="ProductID"/>
    <tableColumn id="2" xr3:uid="{BD222016-2FB9-4953-8F63-6EF30516286E}" name="ProductName"/>
    <tableColumn id="3" xr3:uid="{251C4948-B3ED-4BE6-8167-62CBB60BF278}" name="Category"/>
    <tableColumn id="4" xr3:uid="{2F732E52-1529-415D-B01B-2FE050A64D28}" name="UnitPrice"/>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2698A5-E1FE-4780-B46F-1483310DCCB6}" name="Table2" displayName="Table2" ref="A1:E121" totalsRowShown="0" headerRowDxfId="22" headerRowBorderDxfId="21" tableBorderDxfId="20">
  <autoFilter ref="A1:E121" xr:uid="{FF2698A5-E1FE-4780-B46F-1483310DCCB6}"/>
  <tableColumns count="5">
    <tableColumn id="1" xr3:uid="{F9FF0EAD-EB3D-4133-96BB-BE489CBCBB40}" name="CustomerID"/>
    <tableColumn id="2" xr3:uid="{70F0D811-8D79-4C1B-ACB4-F6BC8D7B0743}" name="CustomerName"/>
    <tableColumn id="3" xr3:uid="{28F93837-AD07-4E1C-9B31-47BEA7B03E39}" name="Email"/>
    <tableColumn id="4" xr3:uid="{FF6FB251-BAE9-4C2C-A4EA-471400E79A30}" name="Country"/>
    <tableColumn id="5" xr3:uid="{228DFD85-F2EE-436F-9C53-3390786E0813}" name="SignupDate" dataDxfId="19"/>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7A2D1-DDCD-42F2-B89F-0204BA1DD7F5}">
  <dimension ref="A3:F30"/>
  <sheetViews>
    <sheetView zoomScale="68" zoomScaleNormal="68" workbookViewId="0">
      <selection activeCell="E4" sqref="E4"/>
    </sheetView>
  </sheetViews>
  <sheetFormatPr defaultRowHeight="14"/>
  <cols>
    <col min="1" max="1" width="13.9140625" customWidth="1"/>
    <col min="2" max="2" width="18.83203125" bestFit="1" customWidth="1"/>
    <col min="3" max="3" width="11.25" customWidth="1"/>
    <col min="4" max="4" width="13.9140625" bestFit="1" customWidth="1"/>
    <col min="5" max="5" width="20.33203125" bestFit="1" customWidth="1"/>
    <col min="6" max="6" width="16.1640625" bestFit="1" customWidth="1"/>
    <col min="7" max="9" width="7.4140625" bestFit="1" customWidth="1"/>
    <col min="10" max="10" width="13.9140625" bestFit="1" customWidth="1"/>
    <col min="11" max="11" width="19.33203125" bestFit="1" customWidth="1"/>
    <col min="12" max="12" width="12.75" bestFit="1" customWidth="1"/>
    <col min="13" max="13" width="17.25" bestFit="1" customWidth="1"/>
    <col min="14" max="14" width="23.4140625" bestFit="1" customWidth="1"/>
    <col min="15" max="15" width="8.58203125" bestFit="1" customWidth="1"/>
    <col min="16" max="16" width="7.4140625" bestFit="1" customWidth="1"/>
    <col min="17" max="23" width="8.58203125" bestFit="1" customWidth="1"/>
    <col min="24" max="25" width="7.4140625" bestFit="1" customWidth="1"/>
    <col min="26" max="30" width="8.58203125" bestFit="1" customWidth="1"/>
    <col min="31" max="31" width="7.4140625" bestFit="1" customWidth="1"/>
    <col min="32" max="32" width="5" bestFit="1" customWidth="1"/>
    <col min="33" max="33" width="7.4140625" bestFit="1" customWidth="1"/>
    <col min="34" max="36" width="8.58203125" bestFit="1" customWidth="1"/>
    <col min="37" max="37" width="7.4140625" bestFit="1" customWidth="1"/>
    <col min="38" max="43" width="8.58203125" bestFit="1" customWidth="1"/>
    <col min="44" max="44" width="7.4140625" bestFit="1" customWidth="1"/>
    <col min="45" max="49" width="8.58203125" bestFit="1" customWidth="1"/>
    <col min="50" max="50" width="7.4140625" bestFit="1" customWidth="1"/>
    <col min="51" max="51" width="8.58203125" bestFit="1" customWidth="1"/>
    <col min="52" max="52" width="7.4140625" bestFit="1" customWidth="1"/>
    <col min="53" max="53" width="8.58203125" bestFit="1" customWidth="1"/>
    <col min="54" max="55" width="7.4140625" bestFit="1" customWidth="1"/>
    <col min="56" max="56" width="8.58203125" bestFit="1" customWidth="1"/>
    <col min="57" max="57" width="7.4140625" bestFit="1" customWidth="1"/>
    <col min="58" max="59" width="8.58203125" bestFit="1" customWidth="1"/>
    <col min="60" max="60" width="7.4140625" bestFit="1" customWidth="1"/>
    <col min="61" max="63" width="8.58203125" bestFit="1" customWidth="1"/>
    <col min="64" max="64" width="7.4140625" bestFit="1" customWidth="1"/>
    <col min="65" max="68" width="8.58203125" bestFit="1" customWidth="1"/>
    <col min="69" max="70" width="7.4140625" bestFit="1" customWidth="1"/>
    <col min="71" max="76" width="8.58203125" bestFit="1" customWidth="1"/>
    <col min="77" max="78" width="7.4140625" bestFit="1" customWidth="1"/>
    <col min="79" max="79" width="8.58203125" bestFit="1" customWidth="1"/>
    <col min="80" max="80" width="7.4140625" bestFit="1" customWidth="1"/>
    <col min="81" max="86" width="8.58203125" bestFit="1" customWidth="1"/>
    <col min="87" max="87" width="7.4140625" bestFit="1" customWidth="1"/>
    <col min="88" max="89" width="8.58203125" bestFit="1" customWidth="1"/>
    <col min="90" max="90" width="7.4140625" bestFit="1" customWidth="1"/>
    <col min="91" max="92" width="8.58203125" bestFit="1" customWidth="1"/>
    <col min="93" max="94" width="7.4140625" bestFit="1" customWidth="1"/>
    <col min="95" max="98" width="8.58203125" bestFit="1" customWidth="1"/>
    <col min="99" max="101" width="7.4140625" bestFit="1" customWidth="1"/>
    <col min="102" max="105" width="8.58203125" bestFit="1" customWidth="1"/>
    <col min="106" max="106" width="7.4140625" bestFit="1" customWidth="1"/>
    <col min="107" max="108" width="8.58203125" bestFit="1" customWidth="1"/>
    <col min="109" max="110" width="7.4140625" bestFit="1" customWidth="1"/>
    <col min="111" max="112" width="8.58203125" bestFit="1" customWidth="1"/>
    <col min="113" max="113" width="7.4140625" bestFit="1" customWidth="1"/>
    <col min="114" max="114" width="8.58203125" bestFit="1" customWidth="1"/>
    <col min="115" max="115" width="7.4140625" bestFit="1" customWidth="1"/>
    <col min="116" max="119" width="8.58203125" bestFit="1" customWidth="1"/>
    <col min="120" max="120" width="7.4140625" bestFit="1" customWidth="1"/>
    <col min="121" max="121" width="8.58203125" bestFit="1" customWidth="1"/>
    <col min="122" max="122" width="7.4140625" bestFit="1" customWidth="1"/>
    <col min="123" max="125" width="9.75" bestFit="1" customWidth="1"/>
    <col min="126" max="126" width="8.58203125" bestFit="1" customWidth="1"/>
    <col min="127" max="129" width="9.75" bestFit="1" customWidth="1"/>
    <col min="130" max="130" width="8.58203125" bestFit="1" customWidth="1"/>
    <col min="131" max="138" width="9.75" bestFit="1" customWidth="1"/>
    <col min="139" max="140" width="8.58203125" bestFit="1" customWidth="1"/>
    <col min="141" max="141" width="9.75" bestFit="1" customWidth="1"/>
    <col min="142" max="147" width="8.58203125" bestFit="1" customWidth="1"/>
    <col min="148" max="148" width="9.75" bestFit="1" customWidth="1"/>
    <col min="149" max="149" width="6.1640625" bestFit="1" customWidth="1"/>
    <col min="150" max="151" width="9.75" bestFit="1" customWidth="1"/>
    <col min="152" max="154" width="8.58203125" bestFit="1" customWidth="1"/>
    <col min="155" max="155" width="6.1640625" bestFit="1" customWidth="1"/>
    <col min="156" max="159" width="9.75" bestFit="1" customWidth="1"/>
    <col min="160" max="161" width="8.58203125" bestFit="1" customWidth="1"/>
    <col min="162" max="163" width="9.75" bestFit="1" customWidth="1"/>
    <col min="164" max="165" width="8.58203125" bestFit="1" customWidth="1"/>
    <col min="166" max="166" width="6.1640625" bestFit="1" customWidth="1"/>
    <col min="167" max="167" width="14" bestFit="1" customWidth="1"/>
  </cols>
  <sheetData>
    <row r="3" spans="1:5">
      <c r="A3" s="5" t="s">
        <v>829</v>
      </c>
      <c r="B3" t="s">
        <v>830</v>
      </c>
      <c r="D3" s="5" t="s">
        <v>829</v>
      </c>
      <c r="E3" t="s">
        <v>845</v>
      </c>
    </row>
    <row r="4" spans="1:5">
      <c r="A4" s="6" t="s">
        <v>535</v>
      </c>
      <c r="B4" s="7">
        <v>49960.63</v>
      </c>
      <c r="D4" s="6" t="s">
        <v>535</v>
      </c>
      <c r="E4" s="11">
        <v>0.19166666666666668</v>
      </c>
    </row>
    <row r="5" spans="1:5">
      <c r="A5" s="6" t="s">
        <v>530</v>
      </c>
      <c r="B5" s="7">
        <v>37792.22</v>
      </c>
      <c r="D5" s="6" t="s">
        <v>530</v>
      </c>
      <c r="E5" s="11">
        <v>0.18333333333333332</v>
      </c>
    </row>
    <row r="6" spans="1:5">
      <c r="A6" s="6" t="s">
        <v>525</v>
      </c>
      <c r="B6" s="7">
        <v>74267.19</v>
      </c>
      <c r="D6" s="6" t="s">
        <v>525</v>
      </c>
      <c r="E6" s="11">
        <v>0.25277777777777777</v>
      </c>
    </row>
    <row r="7" spans="1:5">
      <c r="A7" s="6" t="s">
        <v>528</v>
      </c>
      <c r="B7" s="7">
        <v>42451.15</v>
      </c>
      <c r="D7" s="6" t="s">
        <v>528</v>
      </c>
      <c r="E7" s="11">
        <v>0.15</v>
      </c>
    </row>
    <row r="8" spans="1:5">
      <c r="A8" s="6" t="s">
        <v>532</v>
      </c>
      <c r="B8" s="7">
        <v>44843.46</v>
      </c>
      <c r="D8" s="6" t="s">
        <v>532</v>
      </c>
      <c r="E8" s="11">
        <v>0.22222222222222221</v>
      </c>
    </row>
    <row r="9" spans="1:5">
      <c r="A9" s="6" t="s">
        <v>831</v>
      </c>
      <c r="B9" s="7">
        <v>249314.65</v>
      </c>
      <c r="D9" s="6" t="s">
        <v>831</v>
      </c>
      <c r="E9" s="11">
        <v>1</v>
      </c>
    </row>
    <row r="12" spans="1:5">
      <c r="A12" s="8" t="s">
        <v>829</v>
      </c>
      <c r="B12" s="8" t="s">
        <v>846</v>
      </c>
      <c r="D12" s="5" t="s">
        <v>829</v>
      </c>
      <c r="E12" t="s">
        <v>846</v>
      </c>
    </row>
    <row r="13" spans="1:5">
      <c r="A13" s="9" t="s">
        <v>833</v>
      </c>
      <c r="B13" s="10">
        <v>38121.719999999994</v>
      </c>
      <c r="D13" s="6" t="s">
        <v>596</v>
      </c>
      <c r="E13" s="7">
        <v>57774.679999999978</v>
      </c>
    </row>
    <row r="14" spans="1:5">
      <c r="A14" s="9" t="s">
        <v>834</v>
      </c>
      <c r="B14" s="10">
        <v>36272.57</v>
      </c>
      <c r="D14" s="6" t="s">
        <v>575</v>
      </c>
      <c r="E14" s="7">
        <v>51405.479999999996</v>
      </c>
    </row>
    <row r="15" spans="1:5">
      <c r="A15" s="9" t="s">
        <v>835</v>
      </c>
      <c r="B15" s="10">
        <v>52091.569999999963</v>
      </c>
      <c r="D15" s="6" t="s">
        <v>578</v>
      </c>
      <c r="E15" s="7">
        <v>86879.589999999982</v>
      </c>
    </row>
    <row r="16" spans="1:5">
      <c r="A16" s="9" t="s">
        <v>836</v>
      </c>
      <c r="B16" s="10">
        <v>37290.869999999995</v>
      </c>
      <c r="D16" s="6" t="s">
        <v>609</v>
      </c>
      <c r="E16" s="7">
        <v>53254.900000000009</v>
      </c>
    </row>
    <row r="17" spans="1:6">
      <c r="A17" s="9" t="s">
        <v>837</v>
      </c>
      <c r="B17" s="10">
        <v>33711.56</v>
      </c>
      <c r="D17" s="6" t="s">
        <v>831</v>
      </c>
      <c r="E17" s="7">
        <v>249314.65000000014</v>
      </c>
    </row>
    <row r="18" spans="1:6">
      <c r="A18" s="9" t="s">
        <v>838</v>
      </c>
      <c r="B18" s="10">
        <v>51826.359999999993</v>
      </c>
    </row>
    <row r="19" spans="1:6">
      <c r="A19" s="9" t="s">
        <v>831</v>
      </c>
      <c r="B19" s="10">
        <v>249314.65000000014</v>
      </c>
    </row>
    <row r="22" spans="1:6">
      <c r="A22" s="5" t="s">
        <v>5</v>
      </c>
      <c r="B22" t="s" vm="1">
        <v>832</v>
      </c>
    </row>
    <row r="24" spans="1:6">
      <c r="A24" s="5" t="s">
        <v>829</v>
      </c>
      <c r="B24" t="s">
        <v>830</v>
      </c>
      <c r="D24" s="5" t="s">
        <v>829</v>
      </c>
      <c r="E24" t="s">
        <v>830</v>
      </c>
      <c r="F24" s="13" t="s">
        <v>847</v>
      </c>
    </row>
    <row r="25" spans="1:6">
      <c r="A25" s="6" t="s">
        <v>538</v>
      </c>
      <c r="B25" s="7">
        <v>14731.52</v>
      </c>
      <c r="D25" s="6" t="s">
        <v>535</v>
      </c>
      <c r="E25" s="7">
        <v>49960.63</v>
      </c>
      <c r="F25" s="13">
        <v>69</v>
      </c>
    </row>
    <row r="26" spans="1:6">
      <c r="A26" s="6" t="s">
        <v>541</v>
      </c>
      <c r="B26" s="7">
        <v>14482.44</v>
      </c>
      <c r="D26" s="6" t="s">
        <v>530</v>
      </c>
      <c r="E26" s="7">
        <v>37792.22</v>
      </c>
      <c r="F26" s="13">
        <v>66</v>
      </c>
    </row>
    <row r="27" spans="1:6">
      <c r="A27" s="6" t="s">
        <v>552</v>
      </c>
      <c r="B27" s="7">
        <v>19444.599999999999</v>
      </c>
      <c r="D27" s="6" t="s">
        <v>525</v>
      </c>
      <c r="E27" s="7">
        <v>74267.19</v>
      </c>
      <c r="F27" s="13">
        <v>91</v>
      </c>
    </row>
    <row r="28" spans="1:6">
      <c r="A28" s="6" t="s">
        <v>527</v>
      </c>
      <c r="B28" s="7">
        <v>12836.4</v>
      </c>
      <c r="D28" s="6" t="s">
        <v>528</v>
      </c>
      <c r="E28" s="7">
        <v>42451.15</v>
      </c>
      <c r="F28" s="13">
        <v>54</v>
      </c>
    </row>
    <row r="29" spans="1:6">
      <c r="A29" s="6" t="s">
        <v>536</v>
      </c>
      <c r="B29" s="7">
        <v>11651.5</v>
      </c>
      <c r="D29" s="6" t="s">
        <v>532</v>
      </c>
      <c r="E29" s="7">
        <v>44843.46</v>
      </c>
      <c r="F29" s="13">
        <v>80</v>
      </c>
    </row>
    <row r="30" spans="1:6">
      <c r="A30" s="6" t="s">
        <v>831</v>
      </c>
      <c r="B30" s="7">
        <v>73146.460000000006</v>
      </c>
      <c r="D30" s="6" t="s">
        <v>831</v>
      </c>
      <c r="E30" s="7">
        <v>249314.65</v>
      </c>
      <c r="F30" s="13">
        <v>360</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5C991-9C4C-4DE2-8520-C1DFB18BDB82}">
  <dimension ref="A1"/>
  <sheetViews>
    <sheetView tabSelected="1" topLeftCell="A7" zoomScale="53" zoomScaleNormal="53" workbookViewId="0">
      <selection sqref="A1:XFD1048576"/>
    </sheetView>
  </sheetViews>
  <sheetFormatPr defaultRowHeight="14"/>
  <cols>
    <col min="1" max="16384" width="8.6640625" style="14"/>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AC909-E9CD-41BA-A6CC-A8B6EE58C99D}">
  <dimension ref="A1:O361"/>
  <sheetViews>
    <sheetView zoomScale="75" zoomScaleNormal="75" workbookViewId="0">
      <selection activeCell="N12" sqref="N12"/>
    </sheetView>
  </sheetViews>
  <sheetFormatPr defaultRowHeight="14"/>
  <cols>
    <col min="1" max="1" width="8.75" customWidth="1"/>
    <col min="2" max="2" width="10.75" customWidth="1"/>
    <col min="3" max="3" width="11.75" customWidth="1"/>
    <col min="4" max="4" width="10.33203125" customWidth="1"/>
    <col min="5" max="5" width="27.6640625" customWidth="1"/>
    <col min="6" max="6" width="12.6640625" customWidth="1"/>
    <col min="8" max="8" width="11.75" bestFit="1" customWidth="1"/>
    <col min="9" max="9" width="11.9140625" bestFit="1" customWidth="1"/>
    <col min="10" max="10" width="18.4140625" bestFit="1" customWidth="1"/>
    <col min="11" max="11" width="21.4140625" bestFit="1" customWidth="1"/>
    <col min="14" max="14" width="17.4140625" bestFit="1" customWidth="1"/>
    <col min="15" max="15" width="14.08203125" bestFit="1" customWidth="1"/>
  </cols>
  <sheetData>
    <row r="1" spans="1:15" ht="14.5">
      <c r="A1" s="3" t="s">
        <v>0</v>
      </c>
      <c r="B1" s="3" t="s">
        <v>1</v>
      </c>
      <c r="C1" s="3" t="s">
        <v>2</v>
      </c>
      <c r="D1" s="3" t="s">
        <v>3</v>
      </c>
      <c r="E1" s="3" t="s">
        <v>4</v>
      </c>
      <c r="F1" s="3" t="s">
        <v>5</v>
      </c>
      <c r="G1" s="3" t="s">
        <v>521</v>
      </c>
      <c r="H1" s="3" t="s">
        <v>522</v>
      </c>
      <c r="I1" s="3" t="s">
        <v>523</v>
      </c>
      <c r="J1" s="3" t="s">
        <v>571</v>
      </c>
      <c r="K1" s="3" t="s">
        <v>844</v>
      </c>
    </row>
    <row r="2" spans="1:15">
      <c r="A2" t="s">
        <v>6</v>
      </c>
      <c r="B2" s="1">
        <v>45302</v>
      </c>
      <c r="C2" t="s">
        <v>7</v>
      </c>
      <c r="D2" t="s">
        <v>8</v>
      </c>
      <c r="E2">
        <v>5</v>
      </c>
      <c r="F2">
        <v>2098.25</v>
      </c>
      <c r="G2" t="str">
        <f>VLOOKUP(Table1[[#This Row],[ProductID]],Products!A:D,2)</f>
        <v>Product_20</v>
      </c>
      <c r="H2" t="str">
        <f>VLOOKUP(Table1[[#This Row],[ProductID]],Products!A:D,3)</f>
        <v>Sports</v>
      </c>
      <c r="I2">
        <f>VLOOKUP(Table1[[#This Row],[ProductID]],Products!$A:$D,4)</f>
        <v>419.65</v>
      </c>
      <c r="J2" t="str">
        <f>VLOOKUP(Table1[[#This Row],[CustomerID]],Customer_info!$A:$D,4)</f>
        <v>Canada</v>
      </c>
      <c r="K2">
        <f>Table1[[#This Row],[Quantity]]*Table1[[#This Row],[UnitPrice]]</f>
        <v>2098.25</v>
      </c>
    </row>
    <row r="3" spans="1:15">
      <c r="A3" t="s">
        <v>9</v>
      </c>
      <c r="B3" s="1">
        <v>45312</v>
      </c>
      <c r="C3" t="s">
        <v>10</v>
      </c>
      <c r="D3" t="s">
        <v>11</v>
      </c>
      <c r="E3">
        <v>5</v>
      </c>
      <c r="F3">
        <v>199.35</v>
      </c>
      <c r="G3" t="str">
        <f>VLOOKUP(Table1[[#This Row],[ProductID]],Products!A:D,2)</f>
        <v>Product_32</v>
      </c>
      <c r="H3" t="str">
        <f>VLOOKUP(Table1[[#This Row],[ProductID]],Products!A:D,3)</f>
        <v>Sports</v>
      </c>
      <c r="I3">
        <f>VLOOKUP(Table1[[#This Row],[ProductID]],Products!$A:$D,4)</f>
        <v>39.869999999999997</v>
      </c>
      <c r="J3" t="str">
        <f>VLOOKUP(Table1[[#This Row],[CustomerID]],Customer_info!$A:$D,4)</f>
        <v>India</v>
      </c>
      <c r="K3">
        <f>Table1[[#This Row],[Quantity]]*Table1[[#This Row],[UnitPrice]]</f>
        <v>199.35</v>
      </c>
    </row>
    <row r="4" spans="1:15">
      <c r="A4" t="s">
        <v>12</v>
      </c>
      <c r="B4" s="1">
        <v>45460</v>
      </c>
      <c r="C4" t="s">
        <v>13</v>
      </c>
      <c r="D4" t="s">
        <v>14</v>
      </c>
      <c r="E4">
        <v>4</v>
      </c>
      <c r="F4">
        <v>946.76</v>
      </c>
      <c r="G4" t="str">
        <f>VLOOKUP(Table1[[#This Row],[ProductID]],Products!A:D,2)</f>
        <v>Product_17</v>
      </c>
      <c r="H4" t="str">
        <f>VLOOKUP(Table1[[#This Row],[ProductID]],Products!A:D,3)</f>
        <v>Home</v>
      </c>
      <c r="I4">
        <f>VLOOKUP(Table1[[#This Row],[ProductID]],Products!$A:$D,4)</f>
        <v>236.69</v>
      </c>
      <c r="J4" t="str">
        <f>VLOOKUP(Table1[[#This Row],[CustomerID]],Customer_info!$A:$D,4)</f>
        <v>Canada</v>
      </c>
      <c r="K4">
        <f>Table1[[#This Row],[Quantity]]*Table1[[#This Row],[UnitPrice]]</f>
        <v>946.76</v>
      </c>
      <c r="N4" s="12" t="s">
        <v>842</v>
      </c>
      <c r="O4" s="12">
        <f>SUM(K:K)</f>
        <v>249314.65000000014</v>
      </c>
    </row>
    <row r="5" spans="1:15">
      <c r="A5" t="s">
        <v>15</v>
      </c>
      <c r="B5" s="1">
        <v>45436</v>
      </c>
      <c r="C5" t="s">
        <v>16</v>
      </c>
      <c r="D5" t="s">
        <v>17</v>
      </c>
      <c r="E5">
        <v>5</v>
      </c>
      <c r="F5">
        <v>1972.3</v>
      </c>
      <c r="G5" t="str">
        <f>VLOOKUP(Table1[[#This Row],[ProductID]],Products!A:D,2)</f>
        <v>Product_6</v>
      </c>
      <c r="H5" t="str">
        <f>VLOOKUP(Table1[[#This Row],[ProductID]],Products!A:D,3)</f>
        <v>Clothing</v>
      </c>
      <c r="I5">
        <f>VLOOKUP(Table1[[#This Row],[ProductID]],Products!$A:$D,4)</f>
        <v>394.46</v>
      </c>
      <c r="J5" t="str">
        <f>VLOOKUP(Table1[[#This Row],[CustomerID]],Customer_info!$A:$D,4)</f>
        <v>Canada</v>
      </c>
      <c r="K5">
        <f>Table1[[#This Row],[Quantity]]*Table1[[#This Row],[UnitPrice]]</f>
        <v>1972.3</v>
      </c>
      <c r="N5" s="12" t="s">
        <v>843</v>
      </c>
      <c r="O5" s="12">
        <f>SUM(E:E)</f>
        <v>1080</v>
      </c>
    </row>
    <row r="6" spans="1:15">
      <c r="A6" t="s">
        <v>18</v>
      </c>
      <c r="B6" s="1">
        <v>45372</v>
      </c>
      <c r="C6" t="s">
        <v>19</v>
      </c>
      <c r="D6" t="s">
        <v>20</v>
      </c>
      <c r="E6">
        <v>5</v>
      </c>
      <c r="F6">
        <v>1039.25</v>
      </c>
      <c r="G6" t="str">
        <f>VLOOKUP(Table1[[#This Row],[ProductID]],Products!A:D,2)</f>
        <v>Product_39</v>
      </c>
      <c r="H6" t="str">
        <f>VLOOKUP(Table1[[#This Row],[ProductID]],Products!A:D,3)</f>
        <v>Clothing</v>
      </c>
      <c r="I6">
        <f>VLOOKUP(Table1[[#This Row],[ProductID]],Products!$A:$D,4)</f>
        <v>207.85</v>
      </c>
      <c r="J6" t="str">
        <f>VLOOKUP(Table1[[#This Row],[CustomerID]],Customer_info!$A:$D,4)</f>
        <v>US</v>
      </c>
      <c r="K6">
        <f>Table1[[#This Row],[Quantity]]*Table1[[#This Row],[UnitPrice]]</f>
        <v>1039.25</v>
      </c>
      <c r="N6" s="12" t="s">
        <v>841</v>
      </c>
      <c r="O6" s="12">
        <f>SUM(K2:K361)/COUNTA(A2:A361)</f>
        <v>692.54069444444485</v>
      </c>
    </row>
    <row r="7" spans="1:15">
      <c r="A7" t="s">
        <v>21</v>
      </c>
      <c r="B7" s="1">
        <v>45344</v>
      </c>
      <c r="C7" t="s">
        <v>22</v>
      </c>
      <c r="D7" t="s">
        <v>23</v>
      </c>
      <c r="E7">
        <v>3</v>
      </c>
      <c r="F7">
        <v>309.89999999999998</v>
      </c>
      <c r="G7" t="str">
        <f>VLOOKUP(Table1[[#This Row],[ProductID]],Products!A:D,2)</f>
        <v>Product_7</v>
      </c>
      <c r="H7" t="str">
        <f>VLOOKUP(Table1[[#This Row],[ProductID]],Products!A:D,3)</f>
        <v>Beauty</v>
      </c>
      <c r="I7">
        <f>VLOOKUP(Table1[[#This Row],[ProductID]],Products!$A:$D,4)</f>
        <v>103.3</v>
      </c>
      <c r="J7" t="str">
        <f>VLOOKUP(Table1[[#This Row],[CustomerID]],Customer_info!$A:$D,4)</f>
        <v>US</v>
      </c>
      <c r="K7">
        <f>Table1[[#This Row],[Quantity]]*Table1[[#This Row],[UnitPrice]]</f>
        <v>309.89999999999998</v>
      </c>
    </row>
    <row r="8" spans="1:15">
      <c r="A8" t="s">
        <v>24</v>
      </c>
      <c r="B8" s="1">
        <v>45353</v>
      </c>
      <c r="C8" t="s">
        <v>25</v>
      </c>
      <c r="D8" t="s">
        <v>26</v>
      </c>
      <c r="E8">
        <v>3</v>
      </c>
      <c r="F8">
        <v>449.31</v>
      </c>
      <c r="G8" t="str">
        <f>VLOOKUP(Table1[[#This Row],[ProductID]],Products!A:D,2)</f>
        <v>Product_27</v>
      </c>
      <c r="H8" t="str">
        <f>VLOOKUP(Table1[[#This Row],[ProductID]],Products!A:D,3)</f>
        <v>Beauty</v>
      </c>
      <c r="I8">
        <f>VLOOKUP(Table1[[#This Row],[ProductID]],Products!$A:$D,4)</f>
        <v>149.77000000000001</v>
      </c>
      <c r="J8" t="str">
        <f>VLOOKUP(Table1[[#This Row],[CustomerID]],Customer_info!$A:$D,4)</f>
        <v>UK</v>
      </c>
      <c r="K8">
        <f>Table1[[#This Row],[Quantity]]*Table1[[#This Row],[UnitPrice]]</f>
        <v>449.31000000000006</v>
      </c>
    </row>
    <row r="9" spans="1:15">
      <c r="A9" t="s">
        <v>27</v>
      </c>
      <c r="B9" s="1">
        <v>45393</v>
      </c>
      <c r="C9" t="s">
        <v>7</v>
      </c>
      <c r="D9" t="s">
        <v>28</v>
      </c>
      <c r="E9">
        <v>3</v>
      </c>
      <c r="F9">
        <v>1356.6</v>
      </c>
      <c r="G9" t="str">
        <f>VLOOKUP(Table1[[#This Row],[ProductID]],Products!A:D,2)</f>
        <v>Product_24</v>
      </c>
      <c r="H9" t="str">
        <f>VLOOKUP(Table1[[#This Row],[ProductID]],Products!A:D,3)</f>
        <v>Beauty</v>
      </c>
      <c r="I9">
        <f>VLOOKUP(Table1[[#This Row],[ProductID]],Products!$A:$D,4)</f>
        <v>452.2</v>
      </c>
      <c r="J9" t="str">
        <f>VLOOKUP(Table1[[#This Row],[CustomerID]],Customer_info!$A:$D,4)</f>
        <v>Canada</v>
      </c>
      <c r="K9">
        <f>Table1[[#This Row],[Quantity]]*Table1[[#This Row],[UnitPrice]]</f>
        <v>1356.6</v>
      </c>
      <c r="N9" s="4" t="s">
        <v>571</v>
      </c>
      <c r="O9" s="4" t="s">
        <v>839</v>
      </c>
    </row>
    <row r="10" spans="1:15">
      <c r="A10" t="s">
        <v>29</v>
      </c>
      <c r="B10" s="1">
        <v>45463</v>
      </c>
      <c r="C10" t="s">
        <v>30</v>
      </c>
      <c r="D10" t="s">
        <v>28</v>
      </c>
      <c r="E10">
        <v>2</v>
      </c>
      <c r="F10">
        <v>904.4</v>
      </c>
      <c r="G10" t="str">
        <f>VLOOKUP(Table1[[#This Row],[ProductID]],Products!A:D,2)</f>
        <v>Product_24</v>
      </c>
      <c r="H10" t="str">
        <f>VLOOKUP(Table1[[#This Row],[ProductID]],Products!A:D,3)</f>
        <v>Beauty</v>
      </c>
      <c r="I10">
        <f>VLOOKUP(Table1[[#This Row],[ProductID]],Products!$A:$D,4)</f>
        <v>452.2</v>
      </c>
      <c r="J10" t="str">
        <f>VLOOKUP(Table1[[#This Row],[CustomerID]],Customer_info!$A:$D,4)</f>
        <v>UK</v>
      </c>
      <c r="K10">
        <f>Table1[[#This Row],[Quantity]]*Table1[[#This Row],[UnitPrice]]</f>
        <v>904.4</v>
      </c>
      <c r="N10" t="s">
        <v>822</v>
      </c>
      <c r="O10">
        <f>SUMIF(J:J,J2,K:K)</f>
        <v>57774.679999999978</v>
      </c>
    </row>
    <row r="11" spans="1:15">
      <c r="A11" t="s">
        <v>31</v>
      </c>
      <c r="B11" s="1">
        <v>45409</v>
      </c>
      <c r="C11" t="s">
        <v>32</v>
      </c>
      <c r="D11" t="s">
        <v>17</v>
      </c>
      <c r="E11">
        <v>3</v>
      </c>
      <c r="F11">
        <v>1183.3800000000001</v>
      </c>
      <c r="G11" t="str">
        <f>VLOOKUP(Table1[[#This Row],[ProductID]],Products!A:D,2)</f>
        <v>Product_6</v>
      </c>
      <c r="H11" t="str">
        <f>VLOOKUP(Table1[[#This Row],[ProductID]],Products!A:D,3)</f>
        <v>Clothing</v>
      </c>
      <c r="I11">
        <f>VLOOKUP(Table1[[#This Row],[ProductID]],Products!$A:$D,4)</f>
        <v>394.46</v>
      </c>
      <c r="J11" t="str">
        <f>VLOOKUP(Table1[[#This Row],[CustomerID]],Customer_info!$A:$D,4)</f>
        <v>UK</v>
      </c>
      <c r="K11">
        <f>Table1[[#This Row],[Quantity]]*Table1[[#This Row],[UnitPrice]]</f>
        <v>1183.3799999999999</v>
      </c>
      <c r="N11" t="s">
        <v>823</v>
      </c>
      <c r="O11">
        <f>SUMIF(J:J,J24,K:K)</f>
        <v>51405.479999999996</v>
      </c>
    </row>
    <row r="12" spans="1:15">
      <c r="A12" t="s">
        <v>33</v>
      </c>
      <c r="B12" s="1">
        <v>45310</v>
      </c>
      <c r="C12" t="s">
        <v>34</v>
      </c>
      <c r="D12" t="s">
        <v>35</v>
      </c>
      <c r="E12">
        <v>3</v>
      </c>
      <c r="F12">
        <v>877.02</v>
      </c>
      <c r="G12" t="str">
        <f>VLOOKUP(Table1[[#This Row],[ProductID]],Products!A:D,2)</f>
        <v>Product_5</v>
      </c>
      <c r="H12" t="str">
        <f>VLOOKUP(Table1[[#This Row],[ProductID]],Products!A:D,3)</f>
        <v>Sports</v>
      </c>
      <c r="I12">
        <f>VLOOKUP(Table1[[#This Row],[ProductID]],Products!$A:$D,4)</f>
        <v>292.33999999999997</v>
      </c>
      <c r="J12" t="str">
        <f>VLOOKUP(Table1[[#This Row],[CustomerID]],Customer_info!$A:$D,4)</f>
        <v>US</v>
      </c>
      <c r="K12">
        <f>Table1[[#This Row],[Quantity]]*Table1[[#This Row],[UnitPrice]]</f>
        <v>877.02</v>
      </c>
      <c r="N12" t="s">
        <v>578</v>
      </c>
      <c r="O12">
        <f>SUMIF(J:J,J357,K:K)</f>
        <v>86879.589999999982</v>
      </c>
    </row>
    <row r="13" spans="1:15">
      <c r="A13" t="s">
        <v>36</v>
      </c>
      <c r="B13" s="1">
        <v>45409</v>
      </c>
      <c r="C13" t="s">
        <v>37</v>
      </c>
      <c r="D13" t="s">
        <v>38</v>
      </c>
      <c r="E13">
        <v>1</v>
      </c>
      <c r="F13">
        <v>334.32</v>
      </c>
      <c r="G13" t="str">
        <f>VLOOKUP(Table1[[#This Row],[ProductID]],Products!A:D,2)</f>
        <v>Product_28</v>
      </c>
      <c r="H13" t="str">
        <f>VLOOKUP(Table1[[#This Row],[ProductID]],Products!A:D,3)</f>
        <v>Sports</v>
      </c>
      <c r="I13">
        <f>VLOOKUP(Table1[[#This Row],[ProductID]],Products!$A:$D,4)</f>
        <v>334.32</v>
      </c>
      <c r="J13" t="str">
        <f>VLOOKUP(Table1[[#This Row],[CustomerID]],Customer_info!$A:$D,4)</f>
        <v>US</v>
      </c>
      <c r="K13">
        <f>Table1[[#This Row],[Quantity]]*Table1[[#This Row],[UnitPrice]]</f>
        <v>334.32</v>
      </c>
      <c r="N13" t="s">
        <v>609</v>
      </c>
      <c r="O13">
        <f>SUMIF(J:J,J15,K:K)</f>
        <v>53254.900000000009</v>
      </c>
    </row>
    <row r="14" spans="1:15">
      <c r="A14" t="s">
        <v>39</v>
      </c>
      <c r="B14" s="1">
        <v>45436</v>
      </c>
      <c r="C14" t="s">
        <v>40</v>
      </c>
      <c r="D14" t="s">
        <v>41</v>
      </c>
      <c r="E14">
        <v>5</v>
      </c>
      <c r="F14">
        <v>190.05</v>
      </c>
      <c r="G14" t="str">
        <f>VLOOKUP(Table1[[#This Row],[ProductID]],Products!A:D,2)</f>
        <v>Product_33</v>
      </c>
      <c r="H14" t="str">
        <f>VLOOKUP(Table1[[#This Row],[ProductID]],Products!A:D,3)</f>
        <v>Home</v>
      </c>
      <c r="I14">
        <f>VLOOKUP(Table1[[#This Row],[ProductID]],Products!$A:$D,4)</f>
        <v>38.01</v>
      </c>
      <c r="J14" t="str">
        <f>VLOOKUP(Table1[[#This Row],[CustomerID]],Customer_info!$A:$D,4)</f>
        <v>UK</v>
      </c>
      <c r="K14">
        <f>Table1[[#This Row],[Quantity]]*Table1[[#This Row],[UnitPrice]]</f>
        <v>190.04999999999998</v>
      </c>
      <c r="N14" t="s">
        <v>840</v>
      </c>
      <c r="O14">
        <f>SUM(O10:O13)</f>
        <v>249314.64999999997</v>
      </c>
    </row>
    <row r="15" spans="1:15">
      <c r="A15" t="s">
        <v>42</v>
      </c>
      <c r="B15" s="1">
        <v>45310</v>
      </c>
      <c r="C15" t="s">
        <v>43</v>
      </c>
      <c r="D15" t="s">
        <v>44</v>
      </c>
      <c r="E15">
        <v>1</v>
      </c>
      <c r="F15">
        <v>272.77999999999997</v>
      </c>
      <c r="G15" t="str">
        <f>VLOOKUP(Table1[[#This Row],[ProductID]],Products!A:D,2)</f>
        <v>Product_15</v>
      </c>
      <c r="H15" t="str">
        <f>VLOOKUP(Table1[[#This Row],[ProductID]],Products!A:D,3)</f>
        <v>Clothing</v>
      </c>
      <c r="I15">
        <f>VLOOKUP(Table1[[#This Row],[ProductID]],Products!$A:$D,4)</f>
        <v>272.77999999999997</v>
      </c>
      <c r="J15" t="str">
        <f>VLOOKUP(Table1[[#This Row],[CustomerID]],Customer_info!$A:$D,4)</f>
        <v>US</v>
      </c>
      <c r="K15">
        <f>Table1[[#This Row],[Quantity]]*Table1[[#This Row],[UnitPrice]]</f>
        <v>272.77999999999997</v>
      </c>
    </row>
    <row r="16" spans="1:15">
      <c r="A16" t="s">
        <v>45</v>
      </c>
      <c r="B16" s="1">
        <v>45346</v>
      </c>
      <c r="C16" t="s">
        <v>46</v>
      </c>
      <c r="D16" t="s">
        <v>14</v>
      </c>
      <c r="E16">
        <v>5</v>
      </c>
      <c r="F16">
        <v>1183.45</v>
      </c>
      <c r="G16" t="str">
        <f>VLOOKUP(Table1[[#This Row],[ProductID]],Products!A:D,2)</f>
        <v>Product_17</v>
      </c>
      <c r="H16" t="str">
        <f>VLOOKUP(Table1[[#This Row],[ProductID]],Products!A:D,3)</f>
        <v>Home</v>
      </c>
      <c r="I16">
        <f>VLOOKUP(Table1[[#This Row],[ProductID]],Products!$A:$D,4)</f>
        <v>236.69</v>
      </c>
      <c r="J16" t="str">
        <f>VLOOKUP(Table1[[#This Row],[CustomerID]],Customer_info!$A:$D,4)</f>
        <v>UK</v>
      </c>
      <c r="K16">
        <f>Table1[[#This Row],[Quantity]]*Table1[[#This Row],[UnitPrice]]</f>
        <v>1183.45</v>
      </c>
      <c r="N16" s="4" t="s">
        <v>522</v>
      </c>
      <c r="O16" s="4" t="s">
        <v>839</v>
      </c>
    </row>
    <row r="17" spans="1:15">
      <c r="A17" t="s">
        <v>47</v>
      </c>
      <c r="B17" s="1">
        <v>45359</v>
      </c>
      <c r="C17" t="s">
        <v>48</v>
      </c>
      <c r="D17" t="s">
        <v>49</v>
      </c>
      <c r="E17">
        <v>5</v>
      </c>
      <c r="F17">
        <v>1469</v>
      </c>
      <c r="G17" t="str">
        <f>VLOOKUP(Table1[[#This Row],[ProductID]],Products!A:D,2)</f>
        <v>Product_31</v>
      </c>
      <c r="H17" t="str">
        <f>VLOOKUP(Table1[[#This Row],[ProductID]],Products!A:D,3)</f>
        <v>Electronics</v>
      </c>
      <c r="I17">
        <f>VLOOKUP(Table1[[#This Row],[ProductID]],Products!$A:$D,4)</f>
        <v>293.8</v>
      </c>
      <c r="J17" t="str">
        <f>VLOOKUP(Table1[[#This Row],[CustomerID]],Customer_info!$A:$D,4)</f>
        <v>Canada</v>
      </c>
      <c r="K17">
        <f>Table1[[#This Row],[Quantity]]*Table1[[#This Row],[UnitPrice]]</f>
        <v>1469</v>
      </c>
      <c r="N17" t="s">
        <v>824</v>
      </c>
      <c r="O17">
        <f>SUMIF(H:H,H230,K:K)</f>
        <v>49960.629999999976</v>
      </c>
    </row>
    <row r="18" spans="1:15">
      <c r="A18" t="s">
        <v>50</v>
      </c>
      <c r="B18" s="1">
        <v>45381</v>
      </c>
      <c r="C18" t="s">
        <v>51</v>
      </c>
      <c r="D18" t="s">
        <v>52</v>
      </c>
      <c r="E18">
        <v>2</v>
      </c>
      <c r="F18">
        <v>171.7</v>
      </c>
      <c r="G18" t="str">
        <f>VLOOKUP(Table1[[#This Row],[ProductID]],Products!A:D,2)</f>
        <v>Product_29</v>
      </c>
      <c r="H18" t="str">
        <f>VLOOKUP(Table1[[#This Row],[ProductID]],Products!A:D,3)</f>
        <v>Beauty</v>
      </c>
      <c r="I18">
        <f>VLOOKUP(Table1[[#This Row],[ProductID]],Products!$A:$D,4)</f>
        <v>85.85</v>
      </c>
      <c r="J18" t="str">
        <f>VLOOKUP(Table1[[#This Row],[CustomerID]],Customer_info!$A:$D,4)</f>
        <v>US</v>
      </c>
      <c r="K18">
        <f>Table1[[#This Row],[Quantity]]*Table1[[#This Row],[UnitPrice]]</f>
        <v>171.7</v>
      </c>
      <c r="N18" t="s">
        <v>825</v>
      </c>
      <c r="O18">
        <f>SUMIF(H:H,H360,K:K)</f>
        <v>44843.459999999977</v>
      </c>
    </row>
    <row r="19" spans="1:15">
      <c r="A19" t="s">
        <v>53</v>
      </c>
      <c r="B19" s="1">
        <v>45354</v>
      </c>
      <c r="C19" t="s">
        <v>54</v>
      </c>
      <c r="D19" t="s">
        <v>55</v>
      </c>
      <c r="E19">
        <v>1</v>
      </c>
      <c r="F19">
        <v>130.65</v>
      </c>
      <c r="G19" t="str">
        <f>VLOOKUP(Table1[[#This Row],[ProductID]],Products!A:D,2)</f>
        <v>Product_40</v>
      </c>
      <c r="H19" t="str">
        <f>VLOOKUP(Table1[[#This Row],[ProductID]],Products!A:D,3)</f>
        <v>Sports</v>
      </c>
      <c r="I19">
        <f>VLOOKUP(Table1[[#This Row],[ProductID]],Products!$A:$D,4)</f>
        <v>130.65</v>
      </c>
      <c r="J19" t="str">
        <f>VLOOKUP(Table1[[#This Row],[CustomerID]],Customer_info!$A:$D,4)</f>
        <v>India</v>
      </c>
      <c r="K19">
        <f>Table1[[#This Row],[Quantity]]*Table1[[#This Row],[UnitPrice]]</f>
        <v>130.65</v>
      </c>
      <c r="N19" t="s">
        <v>826</v>
      </c>
      <c r="O19">
        <f>SUMIF(H:H,H357,K:K)</f>
        <v>74267.189999999973</v>
      </c>
    </row>
    <row r="20" spans="1:15">
      <c r="A20" t="s">
        <v>56</v>
      </c>
      <c r="B20" s="1">
        <v>45364</v>
      </c>
      <c r="C20" t="s">
        <v>57</v>
      </c>
      <c r="D20" t="s">
        <v>38</v>
      </c>
      <c r="E20">
        <v>3</v>
      </c>
      <c r="F20">
        <v>1002.96</v>
      </c>
      <c r="G20" t="str">
        <f>VLOOKUP(Table1[[#This Row],[ProductID]],Products!A:D,2)</f>
        <v>Product_28</v>
      </c>
      <c r="H20" t="str">
        <f>VLOOKUP(Table1[[#This Row],[ProductID]],Products!A:D,3)</f>
        <v>Sports</v>
      </c>
      <c r="I20">
        <f>VLOOKUP(Table1[[#This Row],[ProductID]],Products!$A:$D,4)</f>
        <v>334.32</v>
      </c>
      <c r="J20" t="str">
        <f>VLOOKUP(Table1[[#This Row],[CustomerID]],Customer_info!$A:$D,4)</f>
        <v>UK</v>
      </c>
      <c r="K20">
        <f>Table1[[#This Row],[Quantity]]*Table1[[#This Row],[UnitPrice]]</f>
        <v>1002.96</v>
      </c>
      <c r="N20" t="s">
        <v>827</v>
      </c>
      <c r="O20">
        <f>SUMIF(H:H,H352,K:K)</f>
        <v>42451.150000000009</v>
      </c>
    </row>
    <row r="21" spans="1:15">
      <c r="A21" t="s">
        <v>58</v>
      </c>
      <c r="B21" s="1">
        <v>45404</v>
      </c>
      <c r="C21" t="s">
        <v>30</v>
      </c>
      <c r="D21" t="s">
        <v>8</v>
      </c>
      <c r="E21">
        <v>2</v>
      </c>
      <c r="F21">
        <v>839.3</v>
      </c>
      <c r="G21" t="str">
        <f>VLOOKUP(Table1[[#This Row],[ProductID]],Products!A:D,2)</f>
        <v>Product_20</v>
      </c>
      <c r="H21" t="str">
        <f>VLOOKUP(Table1[[#This Row],[ProductID]],Products!A:D,3)</f>
        <v>Sports</v>
      </c>
      <c r="I21">
        <f>VLOOKUP(Table1[[#This Row],[ProductID]],Products!$A:$D,4)</f>
        <v>419.65</v>
      </c>
      <c r="J21" t="str">
        <f>VLOOKUP(Table1[[#This Row],[CustomerID]],Customer_info!$A:$D,4)</f>
        <v>UK</v>
      </c>
      <c r="K21">
        <f>Table1[[#This Row],[Quantity]]*Table1[[#This Row],[UnitPrice]]</f>
        <v>839.3</v>
      </c>
      <c r="N21" t="s">
        <v>828</v>
      </c>
      <c r="O21">
        <f>SUMIF(H:H,H347,K:K)</f>
        <v>37792.22</v>
      </c>
    </row>
    <row r="22" spans="1:15">
      <c r="A22" t="s">
        <v>59</v>
      </c>
      <c r="B22" s="1">
        <v>45472</v>
      </c>
      <c r="C22" t="s">
        <v>30</v>
      </c>
      <c r="D22" t="s">
        <v>60</v>
      </c>
      <c r="E22">
        <v>5</v>
      </c>
      <c r="F22">
        <v>457.45</v>
      </c>
      <c r="G22" t="str">
        <f>VLOOKUP(Table1[[#This Row],[ProductID]],Products!A:D,2)</f>
        <v>Product_22</v>
      </c>
      <c r="H22" t="str">
        <f>VLOOKUP(Table1[[#This Row],[ProductID]],Products!A:D,3)</f>
        <v>Clothing</v>
      </c>
      <c r="I22">
        <f>VLOOKUP(Table1[[#This Row],[ProductID]],Products!$A:$D,4)</f>
        <v>91.49</v>
      </c>
      <c r="J22" t="str">
        <f>VLOOKUP(Table1[[#This Row],[CustomerID]],Customer_info!$A:$D,4)</f>
        <v>UK</v>
      </c>
      <c r="K22">
        <f>Table1[[#This Row],[Quantity]]*Table1[[#This Row],[UnitPrice]]</f>
        <v>457.45</v>
      </c>
      <c r="N22" t="s">
        <v>840</v>
      </c>
      <c r="O22">
        <f>SUM(O17:O21)</f>
        <v>249314.64999999994</v>
      </c>
    </row>
    <row r="23" spans="1:15">
      <c r="A23" t="s">
        <v>61</v>
      </c>
      <c r="B23" s="1">
        <v>45448</v>
      </c>
      <c r="C23" t="s">
        <v>62</v>
      </c>
      <c r="D23" t="s">
        <v>63</v>
      </c>
      <c r="E23">
        <v>3</v>
      </c>
      <c r="F23">
        <v>173.94</v>
      </c>
      <c r="G23" t="str">
        <f>VLOOKUP(Table1[[#This Row],[ProductID]],Products!A:D,2)</f>
        <v>Product_19</v>
      </c>
      <c r="H23" t="str">
        <f>VLOOKUP(Table1[[#This Row],[ProductID]],Products!A:D,3)</f>
        <v>Sports</v>
      </c>
      <c r="I23">
        <f>VLOOKUP(Table1[[#This Row],[ProductID]],Products!$A:$D,4)</f>
        <v>57.98</v>
      </c>
      <c r="J23" t="str">
        <f>VLOOKUP(Table1[[#This Row],[CustomerID]],Customer_info!$A:$D,4)</f>
        <v>Canada</v>
      </c>
      <c r="K23">
        <f>Table1[[#This Row],[Quantity]]*Table1[[#This Row],[UnitPrice]]</f>
        <v>173.94</v>
      </c>
    </row>
    <row r="24" spans="1:15">
      <c r="A24" t="s">
        <v>64</v>
      </c>
      <c r="B24" s="1">
        <v>45294</v>
      </c>
      <c r="C24" t="s">
        <v>65</v>
      </c>
      <c r="D24" t="s">
        <v>60</v>
      </c>
      <c r="E24">
        <v>5</v>
      </c>
      <c r="F24">
        <v>457.45</v>
      </c>
      <c r="G24" t="str">
        <f>VLOOKUP(Table1[[#This Row],[ProductID]],Products!A:D,2)</f>
        <v>Product_22</v>
      </c>
      <c r="H24" t="str">
        <f>VLOOKUP(Table1[[#This Row],[ProductID]],Products!A:D,3)</f>
        <v>Clothing</v>
      </c>
      <c r="I24">
        <f>VLOOKUP(Table1[[#This Row],[ProductID]],Products!$A:$D,4)</f>
        <v>91.49</v>
      </c>
      <c r="J24" t="str">
        <f>VLOOKUP(Table1[[#This Row],[CustomerID]],Customer_info!$A:$D,4)</f>
        <v>India</v>
      </c>
      <c r="K24">
        <f>Table1[[#This Row],[Quantity]]*Table1[[#This Row],[UnitPrice]]</f>
        <v>457.45</v>
      </c>
    </row>
    <row r="25" spans="1:15">
      <c r="A25" t="s">
        <v>66</v>
      </c>
      <c r="B25" s="1">
        <v>45368</v>
      </c>
      <c r="C25" t="s">
        <v>67</v>
      </c>
      <c r="D25" t="s">
        <v>68</v>
      </c>
      <c r="E25">
        <v>5</v>
      </c>
      <c r="F25">
        <v>2011.45</v>
      </c>
      <c r="G25" t="str">
        <f>VLOOKUP(Table1[[#This Row],[ProductID]],Products!A:D,2)</f>
        <v>Product_13</v>
      </c>
      <c r="H25" t="str">
        <f>VLOOKUP(Table1[[#This Row],[ProductID]],Products!A:D,3)</f>
        <v>Home</v>
      </c>
      <c r="I25">
        <f>VLOOKUP(Table1[[#This Row],[ProductID]],Products!$A:$D,4)</f>
        <v>402.29</v>
      </c>
      <c r="J25" t="str">
        <f>VLOOKUP(Table1[[#This Row],[CustomerID]],Customer_info!$A:$D,4)</f>
        <v>Canada</v>
      </c>
      <c r="K25">
        <f>Table1[[#This Row],[Quantity]]*Table1[[#This Row],[UnitPrice]]</f>
        <v>2011.45</v>
      </c>
    </row>
    <row r="26" spans="1:15">
      <c r="A26" t="s">
        <v>69</v>
      </c>
      <c r="B26" s="1">
        <v>45326</v>
      </c>
      <c r="C26" t="s">
        <v>70</v>
      </c>
      <c r="D26" t="s">
        <v>11</v>
      </c>
      <c r="E26">
        <v>1</v>
      </c>
      <c r="F26">
        <v>39.869999999999997</v>
      </c>
      <c r="G26" t="str">
        <f>VLOOKUP(Table1[[#This Row],[ProductID]],Products!A:D,2)</f>
        <v>Product_32</v>
      </c>
      <c r="H26" t="str">
        <f>VLOOKUP(Table1[[#This Row],[ProductID]],Products!A:D,3)</f>
        <v>Sports</v>
      </c>
      <c r="I26">
        <f>VLOOKUP(Table1[[#This Row],[ProductID]],Products!$A:$D,4)</f>
        <v>39.869999999999997</v>
      </c>
      <c r="J26" t="str">
        <f>VLOOKUP(Table1[[#This Row],[CustomerID]],Customer_info!$A:$D,4)</f>
        <v>US</v>
      </c>
      <c r="K26">
        <f>Table1[[#This Row],[Quantity]]*Table1[[#This Row],[UnitPrice]]</f>
        <v>39.869999999999997</v>
      </c>
    </row>
    <row r="27" spans="1:15">
      <c r="A27" t="s">
        <v>71</v>
      </c>
      <c r="B27" s="1">
        <v>45321</v>
      </c>
      <c r="C27" t="s">
        <v>34</v>
      </c>
      <c r="D27" t="s">
        <v>72</v>
      </c>
      <c r="E27">
        <v>3</v>
      </c>
      <c r="F27">
        <v>650.16</v>
      </c>
      <c r="G27" t="str">
        <f>VLOOKUP(Table1[[#This Row],[ProductID]],Products!A:D,2)</f>
        <v>Product_16</v>
      </c>
      <c r="H27" t="str">
        <f>VLOOKUP(Table1[[#This Row],[ProductID]],Products!A:D,3)</f>
        <v>Clothing</v>
      </c>
      <c r="I27">
        <f>VLOOKUP(Table1[[#This Row],[ProductID]],Products!$A:$D,4)</f>
        <v>216.72</v>
      </c>
      <c r="J27" t="str">
        <f>VLOOKUP(Table1[[#This Row],[CustomerID]],Customer_info!$A:$D,4)</f>
        <v>US</v>
      </c>
      <c r="K27">
        <f>Table1[[#This Row],[Quantity]]*Table1[[#This Row],[UnitPrice]]</f>
        <v>650.16</v>
      </c>
    </row>
    <row r="28" spans="1:15">
      <c r="A28" t="s">
        <v>73</v>
      </c>
      <c r="B28" s="1">
        <v>45433</v>
      </c>
      <c r="C28" t="s">
        <v>74</v>
      </c>
      <c r="D28" t="s">
        <v>8</v>
      </c>
      <c r="E28">
        <v>1</v>
      </c>
      <c r="F28">
        <v>419.65</v>
      </c>
      <c r="G28" t="str">
        <f>VLOOKUP(Table1[[#This Row],[ProductID]],Products!A:D,2)</f>
        <v>Product_20</v>
      </c>
      <c r="H28" t="str">
        <f>VLOOKUP(Table1[[#This Row],[ProductID]],Products!A:D,3)</f>
        <v>Sports</v>
      </c>
      <c r="I28">
        <f>VLOOKUP(Table1[[#This Row],[ProductID]],Products!$A:$D,4)</f>
        <v>419.65</v>
      </c>
      <c r="J28" t="str">
        <f>VLOOKUP(Table1[[#This Row],[CustomerID]],Customer_info!$A:$D,4)</f>
        <v>India</v>
      </c>
      <c r="K28">
        <f>Table1[[#This Row],[Quantity]]*Table1[[#This Row],[UnitPrice]]</f>
        <v>419.65</v>
      </c>
    </row>
    <row r="29" spans="1:15">
      <c r="A29" t="s">
        <v>75</v>
      </c>
      <c r="B29" s="1">
        <v>45361</v>
      </c>
      <c r="C29" t="s">
        <v>76</v>
      </c>
      <c r="D29" t="s">
        <v>11</v>
      </c>
      <c r="E29">
        <v>2</v>
      </c>
      <c r="F29">
        <v>79.739999999999995</v>
      </c>
      <c r="G29" t="str">
        <f>VLOOKUP(Table1[[#This Row],[ProductID]],Products!A:D,2)</f>
        <v>Product_32</v>
      </c>
      <c r="H29" t="str">
        <f>VLOOKUP(Table1[[#This Row],[ProductID]],Products!A:D,3)</f>
        <v>Sports</v>
      </c>
      <c r="I29">
        <f>VLOOKUP(Table1[[#This Row],[ProductID]],Products!$A:$D,4)</f>
        <v>39.869999999999997</v>
      </c>
      <c r="J29" t="str">
        <f>VLOOKUP(Table1[[#This Row],[CustomerID]],Customer_info!$A:$D,4)</f>
        <v>UK</v>
      </c>
      <c r="K29">
        <f>Table1[[#This Row],[Quantity]]*Table1[[#This Row],[UnitPrice]]</f>
        <v>79.739999999999995</v>
      </c>
    </row>
    <row r="30" spans="1:15">
      <c r="A30" t="s">
        <v>77</v>
      </c>
      <c r="B30" s="1">
        <v>45446</v>
      </c>
      <c r="C30" t="s">
        <v>78</v>
      </c>
      <c r="D30" t="s">
        <v>23</v>
      </c>
      <c r="E30">
        <v>3</v>
      </c>
      <c r="F30">
        <v>309.89999999999998</v>
      </c>
      <c r="G30" t="str">
        <f>VLOOKUP(Table1[[#This Row],[ProductID]],Products!A:D,2)</f>
        <v>Product_7</v>
      </c>
      <c r="H30" t="str">
        <f>VLOOKUP(Table1[[#This Row],[ProductID]],Products!A:D,3)</f>
        <v>Beauty</v>
      </c>
      <c r="I30">
        <f>VLOOKUP(Table1[[#This Row],[ProductID]],Products!$A:$D,4)</f>
        <v>103.3</v>
      </c>
      <c r="J30" t="str">
        <f>VLOOKUP(Table1[[#This Row],[CustomerID]],Customer_info!$A:$D,4)</f>
        <v>US</v>
      </c>
      <c r="K30">
        <f>Table1[[#This Row],[Quantity]]*Table1[[#This Row],[UnitPrice]]</f>
        <v>309.89999999999998</v>
      </c>
    </row>
    <row r="31" spans="1:15">
      <c r="A31" t="s">
        <v>79</v>
      </c>
      <c r="B31" s="1">
        <v>45379</v>
      </c>
      <c r="C31" t="s">
        <v>80</v>
      </c>
      <c r="D31" t="s">
        <v>81</v>
      </c>
      <c r="E31">
        <v>2</v>
      </c>
      <c r="F31">
        <v>866.56</v>
      </c>
      <c r="G31" t="str">
        <f>VLOOKUP(Table1[[#This Row],[ProductID]],Products!A:D,2)</f>
        <v>Product_10</v>
      </c>
      <c r="H31" t="str">
        <f>VLOOKUP(Table1[[#This Row],[ProductID]],Products!A:D,3)</f>
        <v>Beauty</v>
      </c>
      <c r="I31">
        <f>VLOOKUP(Table1[[#This Row],[ProductID]],Products!$A:$D,4)</f>
        <v>433.28</v>
      </c>
      <c r="J31" t="str">
        <f>VLOOKUP(Table1[[#This Row],[CustomerID]],Customer_info!$A:$D,4)</f>
        <v>UK</v>
      </c>
      <c r="K31">
        <f>Table1[[#This Row],[Quantity]]*Table1[[#This Row],[UnitPrice]]</f>
        <v>866.56</v>
      </c>
    </row>
    <row r="32" spans="1:15">
      <c r="A32" t="s">
        <v>82</v>
      </c>
      <c r="B32" s="1">
        <v>45467</v>
      </c>
      <c r="C32" t="s">
        <v>83</v>
      </c>
      <c r="D32" t="s">
        <v>63</v>
      </c>
      <c r="E32">
        <v>2</v>
      </c>
      <c r="F32">
        <v>115.96</v>
      </c>
      <c r="G32" t="str">
        <f>VLOOKUP(Table1[[#This Row],[ProductID]],Products!A:D,2)</f>
        <v>Product_19</v>
      </c>
      <c r="H32" t="str">
        <f>VLOOKUP(Table1[[#This Row],[ProductID]],Products!A:D,3)</f>
        <v>Sports</v>
      </c>
      <c r="I32">
        <f>VLOOKUP(Table1[[#This Row],[ProductID]],Products!$A:$D,4)</f>
        <v>57.98</v>
      </c>
      <c r="J32" t="str">
        <f>VLOOKUP(Table1[[#This Row],[CustomerID]],Customer_info!$A:$D,4)</f>
        <v>UK</v>
      </c>
      <c r="K32">
        <f>Table1[[#This Row],[Quantity]]*Table1[[#This Row],[UnitPrice]]</f>
        <v>115.96</v>
      </c>
    </row>
    <row r="33" spans="1:11">
      <c r="A33" t="s">
        <v>84</v>
      </c>
      <c r="B33" s="1">
        <v>45421</v>
      </c>
      <c r="C33" t="s">
        <v>85</v>
      </c>
      <c r="D33" t="s">
        <v>60</v>
      </c>
      <c r="E33">
        <v>3</v>
      </c>
      <c r="F33">
        <v>274.47000000000003</v>
      </c>
      <c r="G33" t="str">
        <f>VLOOKUP(Table1[[#This Row],[ProductID]],Products!A:D,2)</f>
        <v>Product_22</v>
      </c>
      <c r="H33" t="str">
        <f>VLOOKUP(Table1[[#This Row],[ProductID]],Products!A:D,3)</f>
        <v>Clothing</v>
      </c>
      <c r="I33">
        <f>VLOOKUP(Table1[[#This Row],[ProductID]],Products!$A:$D,4)</f>
        <v>91.49</v>
      </c>
      <c r="J33" t="str">
        <f>VLOOKUP(Table1[[#This Row],[CustomerID]],Customer_info!$A:$D,4)</f>
        <v>UK</v>
      </c>
      <c r="K33">
        <f>Table1[[#This Row],[Quantity]]*Table1[[#This Row],[UnitPrice]]</f>
        <v>274.46999999999997</v>
      </c>
    </row>
    <row r="34" spans="1:11">
      <c r="A34" t="s">
        <v>86</v>
      </c>
      <c r="B34" s="1">
        <v>45356</v>
      </c>
      <c r="C34" t="s">
        <v>87</v>
      </c>
      <c r="D34" t="s">
        <v>41</v>
      </c>
      <c r="E34">
        <v>4</v>
      </c>
      <c r="F34">
        <v>152.04</v>
      </c>
      <c r="G34" t="str">
        <f>VLOOKUP(Table1[[#This Row],[ProductID]],Products!A:D,2)</f>
        <v>Product_33</v>
      </c>
      <c r="H34" t="str">
        <f>VLOOKUP(Table1[[#This Row],[ProductID]],Products!A:D,3)</f>
        <v>Home</v>
      </c>
      <c r="I34">
        <f>VLOOKUP(Table1[[#This Row],[ProductID]],Products!$A:$D,4)</f>
        <v>38.01</v>
      </c>
      <c r="J34" t="str">
        <f>VLOOKUP(Table1[[#This Row],[CustomerID]],Customer_info!$A:$D,4)</f>
        <v>UK</v>
      </c>
      <c r="K34">
        <f>Table1[[#This Row],[Quantity]]*Table1[[#This Row],[UnitPrice]]</f>
        <v>152.04</v>
      </c>
    </row>
    <row r="35" spans="1:11">
      <c r="A35" t="s">
        <v>88</v>
      </c>
      <c r="B35" s="1">
        <v>45315</v>
      </c>
      <c r="C35" t="s">
        <v>89</v>
      </c>
      <c r="D35" t="s">
        <v>38</v>
      </c>
      <c r="E35">
        <v>1</v>
      </c>
      <c r="F35">
        <v>334.32</v>
      </c>
      <c r="G35" t="str">
        <f>VLOOKUP(Table1[[#This Row],[ProductID]],Products!A:D,2)</f>
        <v>Product_28</v>
      </c>
      <c r="H35" t="str">
        <f>VLOOKUP(Table1[[#This Row],[ProductID]],Products!A:D,3)</f>
        <v>Sports</v>
      </c>
      <c r="I35">
        <f>VLOOKUP(Table1[[#This Row],[ProductID]],Products!$A:$D,4)</f>
        <v>334.32</v>
      </c>
      <c r="J35" t="str">
        <f>VLOOKUP(Table1[[#This Row],[CustomerID]],Customer_info!$A:$D,4)</f>
        <v>UK</v>
      </c>
      <c r="K35">
        <f>Table1[[#This Row],[Quantity]]*Table1[[#This Row],[UnitPrice]]</f>
        <v>334.32</v>
      </c>
    </row>
    <row r="36" spans="1:11">
      <c r="A36" t="s">
        <v>90</v>
      </c>
      <c r="B36" s="1">
        <v>45362</v>
      </c>
      <c r="C36" t="s">
        <v>91</v>
      </c>
      <c r="D36" t="s">
        <v>35</v>
      </c>
      <c r="E36">
        <v>4</v>
      </c>
      <c r="F36">
        <v>1169.3599999999999</v>
      </c>
      <c r="G36" t="str">
        <f>VLOOKUP(Table1[[#This Row],[ProductID]],Products!A:D,2)</f>
        <v>Product_5</v>
      </c>
      <c r="H36" t="str">
        <f>VLOOKUP(Table1[[#This Row],[ProductID]],Products!A:D,3)</f>
        <v>Sports</v>
      </c>
      <c r="I36">
        <f>VLOOKUP(Table1[[#This Row],[ProductID]],Products!$A:$D,4)</f>
        <v>292.33999999999997</v>
      </c>
      <c r="J36" t="str">
        <f>VLOOKUP(Table1[[#This Row],[CustomerID]],Customer_info!$A:$D,4)</f>
        <v>Canada</v>
      </c>
      <c r="K36">
        <f>Table1[[#This Row],[Quantity]]*Table1[[#This Row],[UnitPrice]]</f>
        <v>1169.3599999999999</v>
      </c>
    </row>
    <row r="37" spans="1:11">
      <c r="A37" t="s">
        <v>92</v>
      </c>
      <c r="B37" s="1">
        <v>45292</v>
      </c>
      <c r="C37" t="s">
        <v>93</v>
      </c>
      <c r="D37" t="s">
        <v>52</v>
      </c>
      <c r="E37">
        <v>1</v>
      </c>
      <c r="F37">
        <v>85.85</v>
      </c>
      <c r="G37" t="str">
        <f>VLOOKUP(Table1[[#This Row],[ProductID]],Products!A:D,2)</f>
        <v>Product_29</v>
      </c>
      <c r="H37" t="str">
        <f>VLOOKUP(Table1[[#This Row],[ProductID]],Products!A:D,3)</f>
        <v>Beauty</v>
      </c>
      <c r="I37">
        <f>VLOOKUP(Table1[[#This Row],[ProductID]],Products!$A:$D,4)</f>
        <v>85.85</v>
      </c>
      <c r="J37" t="str">
        <f>VLOOKUP(Table1[[#This Row],[CustomerID]],Customer_info!$A:$D,4)</f>
        <v>US</v>
      </c>
      <c r="K37">
        <f>Table1[[#This Row],[Quantity]]*Table1[[#This Row],[UnitPrice]]</f>
        <v>85.85</v>
      </c>
    </row>
    <row r="38" spans="1:11">
      <c r="A38" t="s">
        <v>94</v>
      </c>
      <c r="B38" s="1">
        <v>45325</v>
      </c>
      <c r="C38" t="s">
        <v>95</v>
      </c>
      <c r="D38" t="s">
        <v>68</v>
      </c>
      <c r="E38">
        <v>3</v>
      </c>
      <c r="F38">
        <v>1206.8699999999999</v>
      </c>
      <c r="G38" t="str">
        <f>VLOOKUP(Table1[[#This Row],[ProductID]],Products!A:D,2)</f>
        <v>Product_13</v>
      </c>
      <c r="H38" t="str">
        <f>VLOOKUP(Table1[[#This Row],[ProductID]],Products!A:D,3)</f>
        <v>Home</v>
      </c>
      <c r="I38">
        <f>VLOOKUP(Table1[[#This Row],[ProductID]],Products!$A:$D,4)</f>
        <v>402.29</v>
      </c>
      <c r="J38" t="str">
        <f>VLOOKUP(Table1[[#This Row],[CustomerID]],Customer_info!$A:$D,4)</f>
        <v>UK</v>
      </c>
      <c r="K38">
        <f>Table1[[#This Row],[Quantity]]*Table1[[#This Row],[UnitPrice]]</f>
        <v>1206.8700000000001</v>
      </c>
    </row>
    <row r="39" spans="1:11">
      <c r="A39" t="s">
        <v>96</v>
      </c>
      <c r="B39" s="1">
        <v>45333</v>
      </c>
      <c r="C39" t="s">
        <v>97</v>
      </c>
      <c r="D39" t="s">
        <v>98</v>
      </c>
      <c r="E39">
        <v>3</v>
      </c>
      <c r="F39">
        <v>395.52</v>
      </c>
      <c r="G39" t="str">
        <f>VLOOKUP(Table1[[#This Row],[ProductID]],Products!A:D,2)</f>
        <v>Product_14</v>
      </c>
      <c r="H39" t="str">
        <f>VLOOKUP(Table1[[#This Row],[ProductID]],Products!A:D,3)</f>
        <v>Electronics</v>
      </c>
      <c r="I39">
        <f>VLOOKUP(Table1[[#This Row],[ProductID]],Products!$A:$D,4)</f>
        <v>131.84</v>
      </c>
      <c r="J39" t="str">
        <f>VLOOKUP(Table1[[#This Row],[CustomerID]],Customer_info!$A:$D,4)</f>
        <v>US</v>
      </c>
      <c r="K39">
        <f>Table1[[#This Row],[Quantity]]*Table1[[#This Row],[UnitPrice]]</f>
        <v>395.52</v>
      </c>
    </row>
    <row r="40" spans="1:11">
      <c r="A40" t="s">
        <v>99</v>
      </c>
      <c r="B40" s="1">
        <v>45433</v>
      </c>
      <c r="C40" t="s">
        <v>57</v>
      </c>
      <c r="D40" t="s">
        <v>23</v>
      </c>
      <c r="E40">
        <v>4</v>
      </c>
      <c r="F40">
        <v>413.2</v>
      </c>
      <c r="G40" t="str">
        <f>VLOOKUP(Table1[[#This Row],[ProductID]],Products!A:D,2)</f>
        <v>Product_7</v>
      </c>
      <c r="H40" t="str">
        <f>VLOOKUP(Table1[[#This Row],[ProductID]],Products!A:D,3)</f>
        <v>Beauty</v>
      </c>
      <c r="I40">
        <f>VLOOKUP(Table1[[#This Row],[ProductID]],Products!$A:$D,4)</f>
        <v>103.3</v>
      </c>
      <c r="J40" t="str">
        <f>VLOOKUP(Table1[[#This Row],[CustomerID]],Customer_info!$A:$D,4)</f>
        <v>UK</v>
      </c>
      <c r="K40">
        <f>Table1[[#This Row],[Quantity]]*Table1[[#This Row],[UnitPrice]]</f>
        <v>413.2</v>
      </c>
    </row>
    <row r="41" spans="1:11">
      <c r="A41" t="s">
        <v>100</v>
      </c>
      <c r="B41" s="1">
        <v>45435</v>
      </c>
      <c r="C41" t="s">
        <v>101</v>
      </c>
      <c r="D41" t="s">
        <v>52</v>
      </c>
      <c r="E41">
        <v>4</v>
      </c>
      <c r="F41">
        <v>343.4</v>
      </c>
      <c r="G41" t="str">
        <f>VLOOKUP(Table1[[#This Row],[ProductID]],Products!A:D,2)</f>
        <v>Product_29</v>
      </c>
      <c r="H41" t="str">
        <f>VLOOKUP(Table1[[#This Row],[ProductID]],Products!A:D,3)</f>
        <v>Beauty</v>
      </c>
      <c r="I41">
        <f>VLOOKUP(Table1[[#This Row],[ProductID]],Products!$A:$D,4)</f>
        <v>85.85</v>
      </c>
      <c r="J41" t="str">
        <f>VLOOKUP(Table1[[#This Row],[CustomerID]],Customer_info!$A:$D,4)</f>
        <v>US</v>
      </c>
      <c r="K41">
        <f>Table1[[#This Row],[Quantity]]*Table1[[#This Row],[UnitPrice]]</f>
        <v>343.4</v>
      </c>
    </row>
    <row r="42" spans="1:11">
      <c r="A42" t="s">
        <v>102</v>
      </c>
      <c r="B42" s="1">
        <v>45320</v>
      </c>
      <c r="C42" t="s">
        <v>80</v>
      </c>
      <c r="D42" t="s">
        <v>103</v>
      </c>
      <c r="E42">
        <v>1</v>
      </c>
      <c r="F42">
        <v>139.94999999999999</v>
      </c>
      <c r="G42" t="str">
        <f>VLOOKUP(Table1[[#This Row],[ProductID]],Products!A:D,2)</f>
        <v>Product_26</v>
      </c>
      <c r="H42" t="str">
        <f>VLOOKUP(Table1[[#This Row],[ProductID]],Products!A:D,3)</f>
        <v>Beauty</v>
      </c>
      <c r="I42">
        <f>VLOOKUP(Table1[[#This Row],[ProductID]],Products!$A:$D,4)</f>
        <v>139.94999999999999</v>
      </c>
      <c r="J42" t="str">
        <f>VLOOKUP(Table1[[#This Row],[CustomerID]],Customer_info!$A:$D,4)</f>
        <v>UK</v>
      </c>
      <c r="K42">
        <f>Table1[[#This Row],[Quantity]]*Table1[[#This Row],[UnitPrice]]</f>
        <v>139.94999999999999</v>
      </c>
    </row>
    <row r="43" spans="1:11">
      <c r="A43" t="s">
        <v>104</v>
      </c>
      <c r="B43" s="1">
        <v>45468</v>
      </c>
      <c r="C43" t="s">
        <v>105</v>
      </c>
      <c r="D43" t="s">
        <v>14</v>
      </c>
      <c r="E43">
        <v>1</v>
      </c>
      <c r="F43">
        <v>236.69</v>
      </c>
      <c r="G43" t="str">
        <f>VLOOKUP(Table1[[#This Row],[ProductID]],Products!A:D,2)</f>
        <v>Product_17</v>
      </c>
      <c r="H43" t="str">
        <f>VLOOKUP(Table1[[#This Row],[ProductID]],Products!A:D,3)</f>
        <v>Home</v>
      </c>
      <c r="I43">
        <f>VLOOKUP(Table1[[#This Row],[ProductID]],Products!$A:$D,4)</f>
        <v>236.69</v>
      </c>
      <c r="J43" t="str">
        <f>VLOOKUP(Table1[[#This Row],[CustomerID]],Customer_info!$A:$D,4)</f>
        <v>UK</v>
      </c>
      <c r="K43">
        <f>Table1[[#This Row],[Quantity]]*Table1[[#This Row],[UnitPrice]]</f>
        <v>236.69</v>
      </c>
    </row>
    <row r="44" spans="1:11">
      <c r="A44" t="s">
        <v>106</v>
      </c>
      <c r="B44" s="1">
        <v>45431</v>
      </c>
      <c r="C44" t="s">
        <v>107</v>
      </c>
      <c r="D44" t="s">
        <v>108</v>
      </c>
      <c r="E44">
        <v>2</v>
      </c>
      <c r="F44">
        <v>98.5</v>
      </c>
      <c r="G44" t="str">
        <f>VLOOKUP(Table1[[#This Row],[ProductID]],Products!A:D,2)</f>
        <v>Product_36</v>
      </c>
      <c r="H44" t="str">
        <f>VLOOKUP(Table1[[#This Row],[ProductID]],Products!A:D,3)</f>
        <v>Sports</v>
      </c>
      <c r="I44">
        <f>VLOOKUP(Table1[[#This Row],[ProductID]],Products!$A:$D,4)</f>
        <v>49.25</v>
      </c>
      <c r="J44" t="str">
        <f>VLOOKUP(Table1[[#This Row],[CustomerID]],Customer_info!$A:$D,4)</f>
        <v>India</v>
      </c>
      <c r="K44">
        <f>Table1[[#This Row],[Quantity]]*Table1[[#This Row],[UnitPrice]]</f>
        <v>98.5</v>
      </c>
    </row>
    <row r="45" spans="1:11">
      <c r="A45" t="s">
        <v>109</v>
      </c>
      <c r="B45" s="1">
        <v>45386</v>
      </c>
      <c r="C45" t="s">
        <v>57</v>
      </c>
      <c r="D45" t="s">
        <v>38</v>
      </c>
      <c r="E45">
        <v>1</v>
      </c>
      <c r="F45">
        <v>334.32</v>
      </c>
      <c r="G45" t="str">
        <f>VLOOKUP(Table1[[#This Row],[ProductID]],Products!A:D,2)</f>
        <v>Product_28</v>
      </c>
      <c r="H45" t="str">
        <f>VLOOKUP(Table1[[#This Row],[ProductID]],Products!A:D,3)</f>
        <v>Sports</v>
      </c>
      <c r="I45">
        <f>VLOOKUP(Table1[[#This Row],[ProductID]],Products!$A:$D,4)</f>
        <v>334.32</v>
      </c>
      <c r="J45" t="str">
        <f>VLOOKUP(Table1[[#This Row],[CustomerID]],Customer_info!$A:$D,4)</f>
        <v>UK</v>
      </c>
      <c r="K45">
        <f>Table1[[#This Row],[Quantity]]*Table1[[#This Row],[UnitPrice]]</f>
        <v>334.32</v>
      </c>
    </row>
    <row r="46" spans="1:11">
      <c r="A46" t="s">
        <v>110</v>
      </c>
      <c r="B46" s="1">
        <v>45433</v>
      </c>
      <c r="C46" t="s">
        <v>111</v>
      </c>
      <c r="D46" t="s">
        <v>44</v>
      </c>
      <c r="E46">
        <v>5</v>
      </c>
      <c r="F46">
        <v>1363.9</v>
      </c>
      <c r="G46" t="str">
        <f>VLOOKUP(Table1[[#This Row],[ProductID]],Products!A:D,2)</f>
        <v>Product_15</v>
      </c>
      <c r="H46" t="str">
        <f>VLOOKUP(Table1[[#This Row],[ProductID]],Products!A:D,3)</f>
        <v>Clothing</v>
      </c>
      <c r="I46">
        <f>VLOOKUP(Table1[[#This Row],[ProductID]],Products!$A:$D,4)</f>
        <v>272.77999999999997</v>
      </c>
      <c r="J46" t="str">
        <f>VLOOKUP(Table1[[#This Row],[CustomerID]],Customer_info!$A:$D,4)</f>
        <v>UK</v>
      </c>
      <c r="K46">
        <f>Table1[[#This Row],[Quantity]]*Table1[[#This Row],[UnitPrice]]</f>
        <v>1363.8999999999999</v>
      </c>
    </row>
    <row r="47" spans="1:11">
      <c r="A47" t="s">
        <v>112</v>
      </c>
      <c r="B47" s="1">
        <v>45402</v>
      </c>
      <c r="C47" t="s">
        <v>113</v>
      </c>
      <c r="D47" t="s">
        <v>114</v>
      </c>
      <c r="E47">
        <v>2</v>
      </c>
      <c r="F47">
        <v>454.26</v>
      </c>
      <c r="G47" t="str">
        <f>VLOOKUP(Table1[[#This Row],[ProductID]],Products!A:D,2)</f>
        <v>Product_18</v>
      </c>
      <c r="H47" t="str">
        <f>VLOOKUP(Table1[[#This Row],[ProductID]],Products!A:D,3)</f>
        <v>Electronics</v>
      </c>
      <c r="I47">
        <f>VLOOKUP(Table1[[#This Row],[ProductID]],Products!$A:$D,4)</f>
        <v>227.13</v>
      </c>
      <c r="J47" t="str">
        <f>VLOOKUP(Table1[[#This Row],[CustomerID]],Customer_info!$A:$D,4)</f>
        <v>India</v>
      </c>
      <c r="K47">
        <f>Table1[[#This Row],[Quantity]]*Table1[[#This Row],[UnitPrice]]</f>
        <v>454.26</v>
      </c>
    </row>
    <row r="48" spans="1:11">
      <c r="A48" t="s">
        <v>115</v>
      </c>
      <c r="B48" s="1">
        <v>45302</v>
      </c>
      <c r="C48" t="s">
        <v>116</v>
      </c>
      <c r="D48" t="s">
        <v>35</v>
      </c>
      <c r="E48">
        <v>2</v>
      </c>
      <c r="F48">
        <v>584.67999999999995</v>
      </c>
      <c r="G48" t="str">
        <f>VLOOKUP(Table1[[#This Row],[ProductID]],Products!A:D,2)</f>
        <v>Product_5</v>
      </c>
      <c r="H48" t="str">
        <f>VLOOKUP(Table1[[#This Row],[ProductID]],Products!A:D,3)</f>
        <v>Sports</v>
      </c>
      <c r="I48">
        <f>VLOOKUP(Table1[[#This Row],[ProductID]],Products!$A:$D,4)</f>
        <v>292.33999999999997</v>
      </c>
      <c r="J48" t="str">
        <f>VLOOKUP(Table1[[#This Row],[CustomerID]],Customer_info!$A:$D,4)</f>
        <v>UK</v>
      </c>
      <c r="K48">
        <f>Table1[[#This Row],[Quantity]]*Table1[[#This Row],[UnitPrice]]</f>
        <v>584.67999999999995</v>
      </c>
    </row>
    <row r="49" spans="1:11">
      <c r="A49" t="s">
        <v>117</v>
      </c>
      <c r="B49" s="1">
        <v>45385</v>
      </c>
      <c r="C49" t="s">
        <v>74</v>
      </c>
      <c r="D49" t="s">
        <v>60</v>
      </c>
      <c r="E49">
        <v>3</v>
      </c>
      <c r="F49">
        <v>274.47000000000003</v>
      </c>
      <c r="G49" t="str">
        <f>VLOOKUP(Table1[[#This Row],[ProductID]],Products!A:D,2)</f>
        <v>Product_22</v>
      </c>
      <c r="H49" t="str">
        <f>VLOOKUP(Table1[[#This Row],[ProductID]],Products!A:D,3)</f>
        <v>Clothing</v>
      </c>
      <c r="I49">
        <f>VLOOKUP(Table1[[#This Row],[ProductID]],Products!$A:$D,4)</f>
        <v>91.49</v>
      </c>
      <c r="J49" t="str">
        <f>VLOOKUP(Table1[[#This Row],[CustomerID]],Customer_info!$A:$D,4)</f>
        <v>India</v>
      </c>
      <c r="K49">
        <f>Table1[[#This Row],[Quantity]]*Table1[[#This Row],[UnitPrice]]</f>
        <v>274.46999999999997</v>
      </c>
    </row>
    <row r="50" spans="1:11">
      <c r="A50" t="s">
        <v>118</v>
      </c>
      <c r="B50" s="1">
        <v>45383</v>
      </c>
      <c r="C50" t="s">
        <v>13</v>
      </c>
      <c r="D50" t="s">
        <v>28</v>
      </c>
      <c r="E50">
        <v>1</v>
      </c>
      <c r="F50">
        <v>452.2</v>
      </c>
      <c r="G50" t="str">
        <f>VLOOKUP(Table1[[#This Row],[ProductID]],Products!A:D,2)</f>
        <v>Product_24</v>
      </c>
      <c r="H50" t="str">
        <f>VLOOKUP(Table1[[#This Row],[ProductID]],Products!A:D,3)</f>
        <v>Beauty</v>
      </c>
      <c r="I50">
        <f>VLOOKUP(Table1[[#This Row],[ProductID]],Products!$A:$D,4)</f>
        <v>452.2</v>
      </c>
      <c r="J50" t="str">
        <f>VLOOKUP(Table1[[#This Row],[CustomerID]],Customer_info!$A:$D,4)</f>
        <v>Canada</v>
      </c>
      <c r="K50">
        <f>Table1[[#This Row],[Quantity]]*Table1[[#This Row],[UnitPrice]]</f>
        <v>452.2</v>
      </c>
    </row>
    <row r="51" spans="1:11">
      <c r="A51" t="s">
        <v>119</v>
      </c>
      <c r="B51" s="1">
        <v>45466</v>
      </c>
      <c r="C51" t="s">
        <v>120</v>
      </c>
      <c r="D51" t="s">
        <v>49</v>
      </c>
      <c r="E51">
        <v>2</v>
      </c>
      <c r="F51">
        <v>587.6</v>
      </c>
      <c r="G51" t="str">
        <f>VLOOKUP(Table1[[#This Row],[ProductID]],Products!A:D,2)</f>
        <v>Product_31</v>
      </c>
      <c r="H51" t="str">
        <f>VLOOKUP(Table1[[#This Row],[ProductID]],Products!A:D,3)</f>
        <v>Electronics</v>
      </c>
      <c r="I51">
        <f>VLOOKUP(Table1[[#This Row],[ProductID]],Products!$A:$D,4)</f>
        <v>293.8</v>
      </c>
      <c r="J51" t="str">
        <f>VLOOKUP(Table1[[#This Row],[CustomerID]],Customer_info!$A:$D,4)</f>
        <v>UK</v>
      </c>
      <c r="K51">
        <f>Table1[[#This Row],[Quantity]]*Table1[[#This Row],[UnitPrice]]</f>
        <v>587.6</v>
      </c>
    </row>
    <row r="52" spans="1:11">
      <c r="A52" t="s">
        <v>121</v>
      </c>
      <c r="B52" s="1">
        <v>45462</v>
      </c>
      <c r="C52" t="s">
        <v>25</v>
      </c>
      <c r="D52" t="s">
        <v>122</v>
      </c>
      <c r="E52">
        <v>2</v>
      </c>
      <c r="F52">
        <v>174.28</v>
      </c>
      <c r="G52" t="str">
        <f>VLOOKUP(Table1[[#This Row],[ProductID]],Products!A:D,2)</f>
        <v>Product_35</v>
      </c>
      <c r="H52" t="str">
        <f>VLOOKUP(Table1[[#This Row],[ProductID]],Products!A:D,3)</f>
        <v>Sports</v>
      </c>
      <c r="I52">
        <f>VLOOKUP(Table1[[#This Row],[ProductID]],Products!$A:$D,4)</f>
        <v>87.14</v>
      </c>
      <c r="J52" t="str">
        <f>VLOOKUP(Table1[[#This Row],[CustomerID]],Customer_info!$A:$D,4)</f>
        <v>UK</v>
      </c>
      <c r="K52">
        <f>Table1[[#This Row],[Quantity]]*Table1[[#This Row],[UnitPrice]]</f>
        <v>174.28</v>
      </c>
    </row>
    <row r="53" spans="1:11">
      <c r="A53" t="s">
        <v>123</v>
      </c>
      <c r="B53" s="1">
        <v>45382</v>
      </c>
      <c r="C53" t="s">
        <v>25</v>
      </c>
      <c r="D53" t="s">
        <v>124</v>
      </c>
      <c r="E53">
        <v>1</v>
      </c>
      <c r="F53">
        <v>39.700000000000003</v>
      </c>
      <c r="G53" t="str">
        <f>VLOOKUP(Table1[[#This Row],[ProductID]],Products!A:D,2)</f>
        <v>Product_12</v>
      </c>
      <c r="H53" t="str">
        <f>VLOOKUP(Table1[[#This Row],[ProductID]],Products!A:D,3)</f>
        <v>Electronics</v>
      </c>
      <c r="I53">
        <f>VLOOKUP(Table1[[#This Row],[ProductID]],Products!$A:$D,4)</f>
        <v>39.700000000000003</v>
      </c>
      <c r="J53" t="str">
        <f>VLOOKUP(Table1[[#This Row],[CustomerID]],Customer_info!$A:$D,4)</f>
        <v>UK</v>
      </c>
      <c r="K53">
        <f>Table1[[#This Row],[Quantity]]*Table1[[#This Row],[UnitPrice]]</f>
        <v>39.700000000000003</v>
      </c>
    </row>
    <row r="54" spans="1:11">
      <c r="A54" t="s">
        <v>125</v>
      </c>
      <c r="B54" s="1">
        <v>45396</v>
      </c>
      <c r="C54" t="s">
        <v>126</v>
      </c>
      <c r="D54" t="s">
        <v>81</v>
      </c>
      <c r="E54">
        <v>5</v>
      </c>
      <c r="F54">
        <v>2166.4</v>
      </c>
      <c r="G54" t="str">
        <f>VLOOKUP(Table1[[#This Row],[ProductID]],Products!A:D,2)</f>
        <v>Product_10</v>
      </c>
      <c r="H54" t="str">
        <f>VLOOKUP(Table1[[#This Row],[ProductID]],Products!A:D,3)</f>
        <v>Beauty</v>
      </c>
      <c r="I54">
        <f>VLOOKUP(Table1[[#This Row],[ProductID]],Products!$A:$D,4)</f>
        <v>433.28</v>
      </c>
      <c r="J54" t="str">
        <f>VLOOKUP(Table1[[#This Row],[CustomerID]],Customer_info!$A:$D,4)</f>
        <v>India</v>
      </c>
      <c r="K54">
        <f>Table1[[#This Row],[Quantity]]*Table1[[#This Row],[UnitPrice]]</f>
        <v>2166.3999999999996</v>
      </c>
    </row>
    <row r="55" spans="1:11">
      <c r="A55" t="s">
        <v>127</v>
      </c>
      <c r="B55" s="1">
        <v>45331</v>
      </c>
      <c r="C55" t="s">
        <v>128</v>
      </c>
      <c r="D55" t="s">
        <v>129</v>
      </c>
      <c r="E55">
        <v>5</v>
      </c>
      <c r="F55">
        <v>583.35</v>
      </c>
      <c r="G55" t="str">
        <f>VLOOKUP(Table1[[#This Row],[ProductID]],Products!A:D,2)</f>
        <v>Product_30</v>
      </c>
      <c r="H55" t="str">
        <f>VLOOKUP(Table1[[#This Row],[ProductID]],Products!A:D,3)</f>
        <v>Home</v>
      </c>
      <c r="I55">
        <f>VLOOKUP(Table1[[#This Row],[ProductID]],Products!$A:$D,4)</f>
        <v>116.67</v>
      </c>
      <c r="J55" t="str">
        <f>VLOOKUP(Table1[[#This Row],[CustomerID]],Customer_info!$A:$D,4)</f>
        <v>Canada</v>
      </c>
      <c r="K55">
        <f>Table1[[#This Row],[Quantity]]*Table1[[#This Row],[UnitPrice]]</f>
        <v>583.35</v>
      </c>
    </row>
    <row r="56" spans="1:11">
      <c r="A56" t="s">
        <v>130</v>
      </c>
      <c r="B56" s="1">
        <v>45333</v>
      </c>
      <c r="C56" t="s">
        <v>131</v>
      </c>
      <c r="D56" t="s">
        <v>132</v>
      </c>
      <c r="E56">
        <v>2</v>
      </c>
      <c r="F56">
        <v>675.6</v>
      </c>
      <c r="G56" t="str">
        <f>VLOOKUP(Table1[[#This Row],[ProductID]],Products!A:D,2)</f>
        <v>Product_3</v>
      </c>
      <c r="H56" t="str">
        <f>VLOOKUP(Table1[[#This Row],[ProductID]],Products!A:D,3)</f>
        <v>Home</v>
      </c>
      <c r="I56">
        <f>VLOOKUP(Table1[[#This Row],[ProductID]],Products!$A:$D,4)</f>
        <v>337.8</v>
      </c>
      <c r="J56" t="str">
        <f>VLOOKUP(Table1[[#This Row],[CustomerID]],Customer_info!$A:$D,4)</f>
        <v>Canada</v>
      </c>
      <c r="K56">
        <f>Table1[[#This Row],[Quantity]]*Table1[[#This Row],[UnitPrice]]</f>
        <v>675.6</v>
      </c>
    </row>
    <row r="57" spans="1:11">
      <c r="A57" t="s">
        <v>133</v>
      </c>
      <c r="B57" s="1">
        <v>45397</v>
      </c>
      <c r="C57" t="s">
        <v>37</v>
      </c>
      <c r="D57" t="s">
        <v>26</v>
      </c>
      <c r="E57">
        <v>2</v>
      </c>
      <c r="F57">
        <v>299.54000000000002</v>
      </c>
      <c r="G57" t="str">
        <f>VLOOKUP(Table1[[#This Row],[ProductID]],Products!A:D,2)</f>
        <v>Product_27</v>
      </c>
      <c r="H57" t="str">
        <f>VLOOKUP(Table1[[#This Row],[ProductID]],Products!A:D,3)</f>
        <v>Beauty</v>
      </c>
      <c r="I57">
        <f>VLOOKUP(Table1[[#This Row],[ProductID]],Products!$A:$D,4)</f>
        <v>149.77000000000001</v>
      </c>
      <c r="J57" t="str">
        <f>VLOOKUP(Table1[[#This Row],[CustomerID]],Customer_info!$A:$D,4)</f>
        <v>US</v>
      </c>
      <c r="K57">
        <f>Table1[[#This Row],[Quantity]]*Table1[[#This Row],[UnitPrice]]</f>
        <v>299.54000000000002</v>
      </c>
    </row>
    <row r="58" spans="1:11">
      <c r="A58" t="s">
        <v>134</v>
      </c>
      <c r="B58" s="1">
        <v>45337</v>
      </c>
      <c r="C58" t="s">
        <v>135</v>
      </c>
      <c r="D58" t="s">
        <v>136</v>
      </c>
      <c r="E58">
        <v>1</v>
      </c>
      <c r="F58">
        <v>431.22</v>
      </c>
      <c r="G58" t="str">
        <f>VLOOKUP(Table1[[#This Row],[ProductID]],Products!A:D,2)</f>
        <v>Product_1</v>
      </c>
      <c r="H58" t="str">
        <f>VLOOKUP(Table1[[#This Row],[ProductID]],Products!A:D,3)</f>
        <v>Electronics</v>
      </c>
      <c r="I58">
        <f>VLOOKUP(Table1[[#This Row],[ProductID]],Products!$A:$D,4)</f>
        <v>431.22</v>
      </c>
      <c r="J58" t="str">
        <f>VLOOKUP(Table1[[#This Row],[CustomerID]],Customer_info!$A:$D,4)</f>
        <v>India</v>
      </c>
      <c r="K58">
        <f>Table1[[#This Row],[Quantity]]*Table1[[#This Row],[UnitPrice]]</f>
        <v>431.22</v>
      </c>
    </row>
    <row r="59" spans="1:11">
      <c r="A59" t="s">
        <v>137</v>
      </c>
      <c r="B59" s="1">
        <v>45397</v>
      </c>
      <c r="C59" t="s">
        <v>85</v>
      </c>
      <c r="D59" t="s">
        <v>68</v>
      </c>
      <c r="E59">
        <v>3</v>
      </c>
      <c r="F59">
        <v>1206.8699999999999</v>
      </c>
      <c r="G59" t="str">
        <f>VLOOKUP(Table1[[#This Row],[ProductID]],Products!A:D,2)</f>
        <v>Product_13</v>
      </c>
      <c r="H59" t="str">
        <f>VLOOKUP(Table1[[#This Row],[ProductID]],Products!A:D,3)</f>
        <v>Home</v>
      </c>
      <c r="I59">
        <f>VLOOKUP(Table1[[#This Row],[ProductID]],Products!$A:$D,4)</f>
        <v>402.29</v>
      </c>
      <c r="J59" t="str">
        <f>VLOOKUP(Table1[[#This Row],[CustomerID]],Customer_info!$A:$D,4)</f>
        <v>UK</v>
      </c>
      <c r="K59">
        <f>Table1[[#This Row],[Quantity]]*Table1[[#This Row],[UnitPrice]]</f>
        <v>1206.8700000000001</v>
      </c>
    </row>
    <row r="60" spans="1:11">
      <c r="A60" t="s">
        <v>138</v>
      </c>
      <c r="B60" s="1">
        <v>45360</v>
      </c>
      <c r="C60" t="s">
        <v>139</v>
      </c>
      <c r="D60" t="s">
        <v>72</v>
      </c>
      <c r="E60">
        <v>2</v>
      </c>
      <c r="F60">
        <v>433.44</v>
      </c>
      <c r="G60" t="str">
        <f>VLOOKUP(Table1[[#This Row],[ProductID]],Products!A:D,2)</f>
        <v>Product_16</v>
      </c>
      <c r="H60" t="str">
        <f>VLOOKUP(Table1[[#This Row],[ProductID]],Products!A:D,3)</f>
        <v>Clothing</v>
      </c>
      <c r="I60">
        <f>VLOOKUP(Table1[[#This Row],[ProductID]],Products!$A:$D,4)</f>
        <v>216.72</v>
      </c>
      <c r="J60" t="str">
        <f>VLOOKUP(Table1[[#This Row],[CustomerID]],Customer_info!$A:$D,4)</f>
        <v>US</v>
      </c>
      <c r="K60">
        <f>Table1[[#This Row],[Quantity]]*Table1[[#This Row],[UnitPrice]]</f>
        <v>433.44</v>
      </c>
    </row>
    <row r="61" spans="1:11">
      <c r="A61" t="s">
        <v>140</v>
      </c>
      <c r="B61" s="1">
        <v>45471</v>
      </c>
      <c r="C61" t="s">
        <v>141</v>
      </c>
      <c r="D61" t="s">
        <v>28</v>
      </c>
      <c r="E61">
        <v>2</v>
      </c>
      <c r="F61">
        <v>904.4</v>
      </c>
      <c r="G61" t="str">
        <f>VLOOKUP(Table1[[#This Row],[ProductID]],Products!A:D,2)</f>
        <v>Product_24</v>
      </c>
      <c r="H61" t="str">
        <f>VLOOKUP(Table1[[#This Row],[ProductID]],Products!A:D,3)</f>
        <v>Beauty</v>
      </c>
      <c r="I61">
        <f>VLOOKUP(Table1[[#This Row],[ProductID]],Products!$A:$D,4)</f>
        <v>452.2</v>
      </c>
      <c r="J61" t="str">
        <f>VLOOKUP(Table1[[#This Row],[CustomerID]],Customer_info!$A:$D,4)</f>
        <v>India</v>
      </c>
      <c r="K61">
        <f>Table1[[#This Row],[Quantity]]*Table1[[#This Row],[UnitPrice]]</f>
        <v>904.4</v>
      </c>
    </row>
    <row r="62" spans="1:11">
      <c r="A62" t="s">
        <v>142</v>
      </c>
      <c r="B62" s="1">
        <v>45389</v>
      </c>
      <c r="C62" t="s">
        <v>143</v>
      </c>
      <c r="D62" t="s">
        <v>81</v>
      </c>
      <c r="E62">
        <v>1</v>
      </c>
      <c r="F62">
        <v>433.28</v>
      </c>
      <c r="G62" t="str">
        <f>VLOOKUP(Table1[[#This Row],[ProductID]],Products!A:D,2)</f>
        <v>Product_10</v>
      </c>
      <c r="H62" t="str">
        <f>VLOOKUP(Table1[[#This Row],[ProductID]],Products!A:D,3)</f>
        <v>Beauty</v>
      </c>
      <c r="I62">
        <f>VLOOKUP(Table1[[#This Row],[ProductID]],Products!$A:$D,4)</f>
        <v>433.28</v>
      </c>
      <c r="J62" t="str">
        <f>VLOOKUP(Table1[[#This Row],[CustomerID]],Customer_info!$A:$D,4)</f>
        <v>Canada</v>
      </c>
      <c r="K62">
        <f>Table1[[#This Row],[Quantity]]*Table1[[#This Row],[UnitPrice]]</f>
        <v>433.28</v>
      </c>
    </row>
    <row r="63" spans="1:11">
      <c r="A63" t="s">
        <v>144</v>
      </c>
      <c r="B63" s="1">
        <v>45412</v>
      </c>
      <c r="C63" t="s">
        <v>145</v>
      </c>
      <c r="D63" t="s">
        <v>146</v>
      </c>
      <c r="E63">
        <v>1</v>
      </c>
      <c r="F63">
        <v>332.9</v>
      </c>
      <c r="G63" t="str">
        <f>VLOOKUP(Table1[[#This Row],[ProductID]],Products!A:D,2)</f>
        <v>Product_8</v>
      </c>
      <c r="H63" t="str">
        <f>VLOOKUP(Table1[[#This Row],[ProductID]],Products!A:D,3)</f>
        <v>Electronics</v>
      </c>
      <c r="I63">
        <f>VLOOKUP(Table1[[#This Row],[ProductID]],Products!$A:$D,4)</f>
        <v>332.9</v>
      </c>
      <c r="J63" t="str">
        <f>VLOOKUP(Table1[[#This Row],[CustomerID]],Customer_info!$A:$D,4)</f>
        <v>UK</v>
      </c>
      <c r="K63">
        <f>Table1[[#This Row],[Quantity]]*Table1[[#This Row],[UnitPrice]]</f>
        <v>332.9</v>
      </c>
    </row>
    <row r="64" spans="1:11">
      <c r="A64" t="s">
        <v>147</v>
      </c>
      <c r="B64" s="1">
        <v>45343</v>
      </c>
      <c r="C64" t="s">
        <v>105</v>
      </c>
      <c r="D64" t="s">
        <v>148</v>
      </c>
      <c r="E64">
        <v>2</v>
      </c>
      <c r="F64">
        <v>679.9</v>
      </c>
      <c r="G64" t="str">
        <f>VLOOKUP(Table1[[#This Row],[ProductID]],Products!A:D,2)</f>
        <v>Product_11</v>
      </c>
      <c r="H64" t="str">
        <f>VLOOKUP(Table1[[#This Row],[ProductID]],Products!A:D,3)</f>
        <v>Electronics</v>
      </c>
      <c r="I64">
        <f>VLOOKUP(Table1[[#This Row],[ProductID]],Products!$A:$D,4)</f>
        <v>339.95</v>
      </c>
      <c r="J64" t="str">
        <f>VLOOKUP(Table1[[#This Row],[CustomerID]],Customer_info!$A:$D,4)</f>
        <v>UK</v>
      </c>
      <c r="K64">
        <f>Table1[[#This Row],[Quantity]]*Table1[[#This Row],[UnitPrice]]</f>
        <v>679.9</v>
      </c>
    </row>
    <row r="65" spans="1:11">
      <c r="A65" t="s">
        <v>149</v>
      </c>
      <c r="B65" s="1">
        <v>45381</v>
      </c>
      <c r="C65" t="s">
        <v>150</v>
      </c>
      <c r="D65" t="s">
        <v>124</v>
      </c>
      <c r="E65">
        <v>4</v>
      </c>
      <c r="F65">
        <v>158.80000000000001</v>
      </c>
      <c r="G65" t="str">
        <f>VLOOKUP(Table1[[#This Row],[ProductID]],Products!A:D,2)</f>
        <v>Product_12</v>
      </c>
      <c r="H65" t="str">
        <f>VLOOKUP(Table1[[#This Row],[ProductID]],Products!A:D,3)</f>
        <v>Electronics</v>
      </c>
      <c r="I65">
        <f>VLOOKUP(Table1[[#This Row],[ProductID]],Products!$A:$D,4)</f>
        <v>39.700000000000003</v>
      </c>
      <c r="J65" t="str">
        <f>VLOOKUP(Table1[[#This Row],[CustomerID]],Customer_info!$A:$D,4)</f>
        <v>UK</v>
      </c>
      <c r="K65">
        <f>Table1[[#This Row],[Quantity]]*Table1[[#This Row],[UnitPrice]]</f>
        <v>158.80000000000001</v>
      </c>
    </row>
    <row r="66" spans="1:11">
      <c r="A66" t="s">
        <v>151</v>
      </c>
      <c r="B66" s="1">
        <v>45350</v>
      </c>
      <c r="C66" t="s">
        <v>13</v>
      </c>
      <c r="D66" t="s">
        <v>152</v>
      </c>
      <c r="E66">
        <v>3</v>
      </c>
      <c r="F66">
        <v>1022.55</v>
      </c>
      <c r="G66" t="str">
        <f>VLOOKUP(Table1[[#This Row],[ProductID]],Products!A:D,2)</f>
        <v>Product_38</v>
      </c>
      <c r="H66" t="str">
        <f>VLOOKUP(Table1[[#This Row],[ProductID]],Products!A:D,3)</f>
        <v>Electronics</v>
      </c>
      <c r="I66">
        <f>VLOOKUP(Table1[[#This Row],[ProductID]],Products!$A:$D,4)</f>
        <v>340.85</v>
      </c>
      <c r="J66" t="str">
        <f>VLOOKUP(Table1[[#This Row],[CustomerID]],Customer_info!$A:$D,4)</f>
        <v>Canada</v>
      </c>
      <c r="K66">
        <f>Table1[[#This Row],[Quantity]]*Table1[[#This Row],[UnitPrice]]</f>
        <v>1022.5500000000001</v>
      </c>
    </row>
    <row r="67" spans="1:11">
      <c r="A67" t="s">
        <v>153</v>
      </c>
      <c r="B67" s="1">
        <v>45298</v>
      </c>
      <c r="C67" t="s">
        <v>89</v>
      </c>
      <c r="D67" t="s">
        <v>60</v>
      </c>
      <c r="E67">
        <v>2</v>
      </c>
      <c r="F67">
        <v>182.98</v>
      </c>
      <c r="G67" t="str">
        <f>VLOOKUP(Table1[[#This Row],[ProductID]],Products!A:D,2)</f>
        <v>Product_22</v>
      </c>
      <c r="H67" t="str">
        <f>VLOOKUP(Table1[[#This Row],[ProductID]],Products!A:D,3)</f>
        <v>Clothing</v>
      </c>
      <c r="I67">
        <f>VLOOKUP(Table1[[#This Row],[ProductID]],Products!$A:$D,4)</f>
        <v>91.49</v>
      </c>
      <c r="J67" t="str">
        <f>VLOOKUP(Table1[[#This Row],[CustomerID]],Customer_info!$A:$D,4)</f>
        <v>UK</v>
      </c>
      <c r="K67">
        <f>Table1[[#This Row],[Quantity]]*Table1[[#This Row],[UnitPrice]]</f>
        <v>182.98</v>
      </c>
    </row>
    <row r="68" spans="1:11">
      <c r="A68" t="s">
        <v>154</v>
      </c>
      <c r="B68" s="1">
        <v>45394</v>
      </c>
      <c r="C68" t="s">
        <v>37</v>
      </c>
      <c r="D68" t="s">
        <v>148</v>
      </c>
      <c r="E68">
        <v>2</v>
      </c>
      <c r="F68">
        <v>679.9</v>
      </c>
      <c r="G68" t="str">
        <f>VLOOKUP(Table1[[#This Row],[ProductID]],Products!A:D,2)</f>
        <v>Product_11</v>
      </c>
      <c r="H68" t="str">
        <f>VLOOKUP(Table1[[#This Row],[ProductID]],Products!A:D,3)</f>
        <v>Electronics</v>
      </c>
      <c r="I68">
        <f>VLOOKUP(Table1[[#This Row],[ProductID]],Products!$A:$D,4)</f>
        <v>339.95</v>
      </c>
      <c r="J68" t="str">
        <f>VLOOKUP(Table1[[#This Row],[CustomerID]],Customer_info!$A:$D,4)</f>
        <v>US</v>
      </c>
      <c r="K68">
        <f>Table1[[#This Row],[Quantity]]*Table1[[#This Row],[UnitPrice]]</f>
        <v>679.9</v>
      </c>
    </row>
    <row r="69" spans="1:11">
      <c r="A69" t="s">
        <v>155</v>
      </c>
      <c r="B69" s="1">
        <v>45363</v>
      </c>
      <c r="C69" t="s">
        <v>51</v>
      </c>
      <c r="D69" t="s">
        <v>14</v>
      </c>
      <c r="E69">
        <v>3</v>
      </c>
      <c r="F69">
        <v>710.07</v>
      </c>
      <c r="G69" t="str">
        <f>VLOOKUP(Table1[[#This Row],[ProductID]],Products!A:D,2)</f>
        <v>Product_17</v>
      </c>
      <c r="H69" t="str">
        <f>VLOOKUP(Table1[[#This Row],[ProductID]],Products!A:D,3)</f>
        <v>Home</v>
      </c>
      <c r="I69">
        <f>VLOOKUP(Table1[[#This Row],[ProductID]],Products!$A:$D,4)</f>
        <v>236.69</v>
      </c>
      <c r="J69" t="str">
        <f>VLOOKUP(Table1[[#This Row],[CustomerID]],Customer_info!$A:$D,4)</f>
        <v>US</v>
      </c>
      <c r="K69">
        <f>Table1[[#This Row],[Quantity]]*Table1[[#This Row],[UnitPrice]]</f>
        <v>710.06999999999994</v>
      </c>
    </row>
    <row r="70" spans="1:11">
      <c r="A70" t="s">
        <v>156</v>
      </c>
      <c r="B70" s="1">
        <v>45363</v>
      </c>
      <c r="C70" t="s">
        <v>105</v>
      </c>
      <c r="D70" t="s">
        <v>49</v>
      </c>
      <c r="E70">
        <v>1</v>
      </c>
      <c r="F70">
        <v>293.8</v>
      </c>
      <c r="G70" t="str">
        <f>VLOOKUP(Table1[[#This Row],[ProductID]],Products!A:D,2)</f>
        <v>Product_31</v>
      </c>
      <c r="H70" t="str">
        <f>VLOOKUP(Table1[[#This Row],[ProductID]],Products!A:D,3)</f>
        <v>Electronics</v>
      </c>
      <c r="I70">
        <f>VLOOKUP(Table1[[#This Row],[ProductID]],Products!$A:$D,4)</f>
        <v>293.8</v>
      </c>
      <c r="J70" t="str">
        <f>VLOOKUP(Table1[[#This Row],[CustomerID]],Customer_info!$A:$D,4)</f>
        <v>UK</v>
      </c>
      <c r="K70">
        <f>Table1[[#This Row],[Quantity]]*Table1[[#This Row],[UnitPrice]]</f>
        <v>293.8</v>
      </c>
    </row>
    <row r="71" spans="1:11">
      <c r="A71" t="s">
        <v>157</v>
      </c>
      <c r="B71" s="1">
        <v>45456</v>
      </c>
      <c r="C71" t="s">
        <v>111</v>
      </c>
      <c r="D71" t="s">
        <v>60</v>
      </c>
      <c r="E71">
        <v>3</v>
      </c>
      <c r="F71">
        <v>274.47000000000003</v>
      </c>
      <c r="G71" t="str">
        <f>VLOOKUP(Table1[[#This Row],[ProductID]],Products!A:D,2)</f>
        <v>Product_22</v>
      </c>
      <c r="H71" t="str">
        <f>VLOOKUP(Table1[[#This Row],[ProductID]],Products!A:D,3)</f>
        <v>Clothing</v>
      </c>
      <c r="I71">
        <f>VLOOKUP(Table1[[#This Row],[ProductID]],Products!$A:$D,4)</f>
        <v>91.49</v>
      </c>
      <c r="J71" t="str">
        <f>VLOOKUP(Table1[[#This Row],[CustomerID]],Customer_info!$A:$D,4)</f>
        <v>UK</v>
      </c>
      <c r="K71">
        <f>Table1[[#This Row],[Quantity]]*Table1[[#This Row],[UnitPrice]]</f>
        <v>274.46999999999997</v>
      </c>
    </row>
    <row r="72" spans="1:11">
      <c r="A72" t="s">
        <v>158</v>
      </c>
      <c r="B72" s="1">
        <v>45394</v>
      </c>
      <c r="C72" t="s">
        <v>159</v>
      </c>
      <c r="D72" t="s">
        <v>160</v>
      </c>
      <c r="E72">
        <v>5</v>
      </c>
      <c r="F72">
        <v>217.9</v>
      </c>
      <c r="G72" t="str">
        <f>VLOOKUP(Table1[[#This Row],[ProductID]],Products!A:D,2)</f>
        <v>Product_37</v>
      </c>
      <c r="H72" t="str">
        <f>VLOOKUP(Table1[[#This Row],[ProductID]],Products!A:D,3)</f>
        <v>Clothing</v>
      </c>
      <c r="I72">
        <f>VLOOKUP(Table1[[#This Row],[ProductID]],Products!$A:$D,4)</f>
        <v>43.58</v>
      </c>
      <c r="J72" t="str">
        <f>VLOOKUP(Table1[[#This Row],[CustomerID]],Customer_info!$A:$D,4)</f>
        <v>US</v>
      </c>
      <c r="K72">
        <f>Table1[[#This Row],[Quantity]]*Table1[[#This Row],[UnitPrice]]</f>
        <v>217.89999999999998</v>
      </c>
    </row>
    <row r="73" spans="1:11">
      <c r="A73" t="s">
        <v>161</v>
      </c>
      <c r="B73" s="1">
        <v>45376</v>
      </c>
      <c r="C73" t="s">
        <v>7</v>
      </c>
      <c r="D73" t="s">
        <v>28</v>
      </c>
      <c r="E73">
        <v>5</v>
      </c>
      <c r="F73">
        <v>2261</v>
      </c>
      <c r="G73" t="str">
        <f>VLOOKUP(Table1[[#This Row],[ProductID]],Products!A:D,2)</f>
        <v>Product_24</v>
      </c>
      <c r="H73" t="str">
        <f>VLOOKUP(Table1[[#This Row],[ProductID]],Products!A:D,3)</f>
        <v>Beauty</v>
      </c>
      <c r="I73">
        <f>VLOOKUP(Table1[[#This Row],[ProductID]],Products!$A:$D,4)</f>
        <v>452.2</v>
      </c>
      <c r="J73" t="str">
        <f>VLOOKUP(Table1[[#This Row],[CustomerID]],Customer_info!$A:$D,4)</f>
        <v>Canada</v>
      </c>
      <c r="K73">
        <f>Table1[[#This Row],[Quantity]]*Table1[[#This Row],[UnitPrice]]</f>
        <v>2261</v>
      </c>
    </row>
    <row r="74" spans="1:11">
      <c r="A74" t="s">
        <v>162</v>
      </c>
      <c r="B74" s="1">
        <v>45321</v>
      </c>
      <c r="C74" t="s">
        <v>128</v>
      </c>
      <c r="D74" t="s">
        <v>152</v>
      </c>
      <c r="E74">
        <v>1</v>
      </c>
      <c r="F74">
        <v>340.85</v>
      </c>
      <c r="G74" t="str">
        <f>VLOOKUP(Table1[[#This Row],[ProductID]],Products!A:D,2)</f>
        <v>Product_38</v>
      </c>
      <c r="H74" t="str">
        <f>VLOOKUP(Table1[[#This Row],[ProductID]],Products!A:D,3)</f>
        <v>Electronics</v>
      </c>
      <c r="I74">
        <f>VLOOKUP(Table1[[#This Row],[ProductID]],Products!$A:$D,4)</f>
        <v>340.85</v>
      </c>
      <c r="J74" t="str">
        <f>VLOOKUP(Table1[[#This Row],[CustomerID]],Customer_info!$A:$D,4)</f>
        <v>Canada</v>
      </c>
      <c r="K74">
        <f>Table1[[#This Row],[Quantity]]*Table1[[#This Row],[UnitPrice]]</f>
        <v>340.85</v>
      </c>
    </row>
    <row r="75" spans="1:11">
      <c r="A75" t="s">
        <v>163</v>
      </c>
      <c r="B75" s="1">
        <v>45337</v>
      </c>
      <c r="C75" t="s">
        <v>13</v>
      </c>
      <c r="D75" t="s">
        <v>136</v>
      </c>
      <c r="E75">
        <v>3</v>
      </c>
      <c r="F75">
        <v>1293.6600000000001</v>
      </c>
      <c r="G75" t="str">
        <f>VLOOKUP(Table1[[#This Row],[ProductID]],Products!A:D,2)</f>
        <v>Product_1</v>
      </c>
      <c r="H75" t="str">
        <f>VLOOKUP(Table1[[#This Row],[ProductID]],Products!A:D,3)</f>
        <v>Electronics</v>
      </c>
      <c r="I75">
        <f>VLOOKUP(Table1[[#This Row],[ProductID]],Products!$A:$D,4)</f>
        <v>431.22</v>
      </c>
      <c r="J75" t="str">
        <f>VLOOKUP(Table1[[#This Row],[CustomerID]],Customer_info!$A:$D,4)</f>
        <v>Canada</v>
      </c>
      <c r="K75">
        <f>Table1[[#This Row],[Quantity]]*Table1[[#This Row],[UnitPrice]]</f>
        <v>1293.6600000000001</v>
      </c>
    </row>
    <row r="76" spans="1:11">
      <c r="A76" t="s">
        <v>164</v>
      </c>
      <c r="B76" s="1">
        <v>45359</v>
      </c>
      <c r="C76" t="s">
        <v>135</v>
      </c>
      <c r="D76" t="s">
        <v>165</v>
      </c>
      <c r="E76">
        <v>5</v>
      </c>
      <c r="F76">
        <v>1309.7</v>
      </c>
      <c r="G76" t="str">
        <f>VLOOKUP(Table1[[#This Row],[ProductID]],Products!A:D,2)</f>
        <v>Product_2</v>
      </c>
      <c r="H76" t="str">
        <f>VLOOKUP(Table1[[#This Row],[ProductID]],Products!A:D,3)</f>
        <v>Electronics</v>
      </c>
      <c r="I76">
        <f>VLOOKUP(Table1[[#This Row],[ProductID]],Products!$A:$D,4)</f>
        <v>261.94</v>
      </c>
      <c r="J76" t="str">
        <f>VLOOKUP(Table1[[#This Row],[CustomerID]],Customer_info!$A:$D,4)</f>
        <v>India</v>
      </c>
      <c r="K76">
        <f>Table1[[#This Row],[Quantity]]*Table1[[#This Row],[UnitPrice]]</f>
        <v>1309.7</v>
      </c>
    </row>
    <row r="77" spans="1:11">
      <c r="A77" t="s">
        <v>166</v>
      </c>
      <c r="B77" s="1">
        <v>45319</v>
      </c>
      <c r="C77" t="s">
        <v>167</v>
      </c>
      <c r="D77" t="s">
        <v>165</v>
      </c>
      <c r="E77">
        <v>1</v>
      </c>
      <c r="F77">
        <v>261.94</v>
      </c>
      <c r="G77" t="str">
        <f>VLOOKUP(Table1[[#This Row],[ProductID]],Products!A:D,2)</f>
        <v>Product_2</v>
      </c>
      <c r="H77" t="str">
        <f>VLOOKUP(Table1[[#This Row],[ProductID]],Products!A:D,3)</f>
        <v>Electronics</v>
      </c>
      <c r="I77">
        <f>VLOOKUP(Table1[[#This Row],[ProductID]],Products!$A:$D,4)</f>
        <v>261.94</v>
      </c>
      <c r="J77" t="str">
        <f>VLOOKUP(Table1[[#This Row],[CustomerID]],Customer_info!$A:$D,4)</f>
        <v>UK</v>
      </c>
      <c r="K77">
        <f>Table1[[#This Row],[Quantity]]*Table1[[#This Row],[UnitPrice]]</f>
        <v>261.94</v>
      </c>
    </row>
    <row r="78" spans="1:11">
      <c r="A78" t="s">
        <v>168</v>
      </c>
      <c r="B78" s="1">
        <v>45403</v>
      </c>
      <c r="C78" t="s">
        <v>135</v>
      </c>
      <c r="D78" t="s">
        <v>114</v>
      </c>
      <c r="E78">
        <v>5</v>
      </c>
      <c r="F78">
        <v>1135.6500000000001</v>
      </c>
      <c r="G78" t="str">
        <f>VLOOKUP(Table1[[#This Row],[ProductID]],Products!A:D,2)</f>
        <v>Product_18</v>
      </c>
      <c r="H78" t="str">
        <f>VLOOKUP(Table1[[#This Row],[ProductID]],Products!A:D,3)</f>
        <v>Electronics</v>
      </c>
      <c r="I78">
        <f>VLOOKUP(Table1[[#This Row],[ProductID]],Products!$A:$D,4)</f>
        <v>227.13</v>
      </c>
      <c r="J78" t="str">
        <f>VLOOKUP(Table1[[#This Row],[CustomerID]],Customer_info!$A:$D,4)</f>
        <v>India</v>
      </c>
      <c r="K78">
        <f>Table1[[#This Row],[Quantity]]*Table1[[#This Row],[UnitPrice]]</f>
        <v>1135.6500000000001</v>
      </c>
    </row>
    <row r="79" spans="1:11">
      <c r="A79" t="s">
        <v>169</v>
      </c>
      <c r="B79" s="1">
        <v>45372</v>
      </c>
      <c r="C79" t="s">
        <v>170</v>
      </c>
      <c r="D79" t="s">
        <v>23</v>
      </c>
      <c r="E79">
        <v>3</v>
      </c>
      <c r="F79">
        <v>309.89999999999998</v>
      </c>
      <c r="G79" t="str">
        <f>VLOOKUP(Table1[[#This Row],[ProductID]],Products!A:D,2)</f>
        <v>Product_7</v>
      </c>
      <c r="H79" t="str">
        <f>VLOOKUP(Table1[[#This Row],[ProductID]],Products!A:D,3)</f>
        <v>Beauty</v>
      </c>
      <c r="I79">
        <f>VLOOKUP(Table1[[#This Row],[ProductID]],Products!$A:$D,4)</f>
        <v>103.3</v>
      </c>
      <c r="J79" t="str">
        <f>VLOOKUP(Table1[[#This Row],[CustomerID]],Customer_info!$A:$D,4)</f>
        <v>UK</v>
      </c>
      <c r="K79">
        <f>Table1[[#This Row],[Quantity]]*Table1[[#This Row],[UnitPrice]]</f>
        <v>309.89999999999998</v>
      </c>
    </row>
    <row r="80" spans="1:11">
      <c r="A80" t="s">
        <v>171</v>
      </c>
      <c r="B80" s="1">
        <v>45447</v>
      </c>
      <c r="C80" t="s">
        <v>172</v>
      </c>
      <c r="D80" t="s">
        <v>81</v>
      </c>
      <c r="E80">
        <v>4</v>
      </c>
      <c r="F80">
        <v>1733.12</v>
      </c>
      <c r="G80" t="str">
        <f>VLOOKUP(Table1[[#This Row],[ProductID]],Products!A:D,2)</f>
        <v>Product_10</v>
      </c>
      <c r="H80" t="str">
        <f>VLOOKUP(Table1[[#This Row],[ProductID]],Products!A:D,3)</f>
        <v>Beauty</v>
      </c>
      <c r="I80">
        <f>VLOOKUP(Table1[[#This Row],[ProductID]],Products!$A:$D,4)</f>
        <v>433.28</v>
      </c>
      <c r="J80" t="str">
        <f>VLOOKUP(Table1[[#This Row],[CustomerID]],Customer_info!$A:$D,4)</f>
        <v>Canada</v>
      </c>
      <c r="K80">
        <f>Table1[[#This Row],[Quantity]]*Table1[[#This Row],[UnitPrice]]</f>
        <v>1733.12</v>
      </c>
    </row>
    <row r="81" spans="1:11">
      <c r="A81" t="s">
        <v>173</v>
      </c>
      <c r="B81" s="1">
        <v>45321</v>
      </c>
      <c r="C81" t="s">
        <v>174</v>
      </c>
      <c r="D81" t="s">
        <v>146</v>
      </c>
      <c r="E81">
        <v>5</v>
      </c>
      <c r="F81">
        <v>1664.5</v>
      </c>
      <c r="G81" t="str">
        <f>VLOOKUP(Table1[[#This Row],[ProductID]],Products!A:D,2)</f>
        <v>Product_8</v>
      </c>
      <c r="H81" t="str">
        <f>VLOOKUP(Table1[[#This Row],[ProductID]],Products!A:D,3)</f>
        <v>Electronics</v>
      </c>
      <c r="I81">
        <f>VLOOKUP(Table1[[#This Row],[ProductID]],Products!$A:$D,4)</f>
        <v>332.9</v>
      </c>
      <c r="J81" t="str">
        <f>VLOOKUP(Table1[[#This Row],[CustomerID]],Customer_info!$A:$D,4)</f>
        <v>Canada</v>
      </c>
      <c r="K81">
        <f>Table1[[#This Row],[Quantity]]*Table1[[#This Row],[UnitPrice]]</f>
        <v>1664.5</v>
      </c>
    </row>
    <row r="82" spans="1:11">
      <c r="A82" t="s">
        <v>175</v>
      </c>
      <c r="B82" s="1">
        <v>45439</v>
      </c>
      <c r="C82" t="s">
        <v>176</v>
      </c>
      <c r="D82" t="s">
        <v>63</v>
      </c>
      <c r="E82">
        <v>4</v>
      </c>
      <c r="F82">
        <v>231.92</v>
      </c>
      <c r="G82" t="str">
        <f>VLOOKUP(Table1[[#This Row],[ProductID]],Products!A:D,2)</f>
        <v>Product_19</v>
      </c>
      <c r="H82" t="str">
        <f>VLOOKUP(Table1[[#This Row],[ProductID]],Products!A:D,3)</f>
        <v>Sports</v>
      </c>
      <c r="I82">
        <f>VLOOKUP(Table1[[#This Row],[ProductID]],Products!$A:$D,4)</f>
        <v>57.98</v>
      </c>
      <c r="J82" t="str">
        <f>VLOOKUP(Table1[[#This Row],[CustomerID]],Customer_info!$A:$D,4)</f>
        <v>UK</v>
      </c>
      <c r="K82">
        <f>Table1[[#This Row],[Quantity]]*Table1[[#This Row],[UnitPrice]]</f>
        <v>231.92</v>
      </c>
    </row>
    <row r="83" spans="1:11">
      <c r="A83" t="s">
        <v>177</v>
      </c>
      <c r="B83" s="1">
        <v>45357</v>
      </c>
      <c r="C83" t="s">
        <v>48</v>
      </c>
      <c r="D83" t="s">
        <v>178</v>
      </c>
      <c r="E83">
        <v>2</v>
      </c>
      <c r="F83">
        <v>435.1</v>
      </c>
      <c r="G83" t="str">
        <f>VLOOKUP(Table1[[#This Row],[ProductID]],Products!A:D,2)</f>
        <v>Product_9</v>
      </c>
      <c r="H83" t="str">
        <f>VLOOKUP(Table1[[#This Row],[ProductID]],Products!A:D,3)</f>
        <v>Home</v>
      </c>
      <c r="I83">
        <f>VLOOKUP(Table1[[#This Row],[ProductID]],Products!$A:$D,4)</f>
        <v>217.55</v>
      </c>
      <c r="J83" t="str">
        <f>VLOOKUP(Table1[[#This Row],[CustomerID]],Customer_info!$A:$D,4)</f>
        <v>Canada</v>
      </c>
      <c r="K83">
        <f>Table1[[#This Row],[Quantity]]*Table1[[#This Row],[UnitPrice]]</f>
        <v>435.1</v>
      </c>
    </row>
    <row r="84" spans="1:11">
      <c r="A84" t="s">
        <v>179</v>
      </c>
      <c r="B84" s="1">
        <v>45403</v>
      </c>
      <c r="C84" t="s">
        <v>180</v>
      </c>
      <c r="D84" t="s">
        <v>72</v>
      </c>
      <c r="E84">
        <v>1</v>
      </c>
      <c r="F84">
        <v>216.72</v>
      </c>
      <c r="G84" t="str">
        <f>VLOOKUP(Table1[[#This Row],[ProductID]],Products!A:D,2)</f>
        <v>Product_16</v>
      </c>
      <c r="H84" t="str">
        <f>VLOOKUP(Table1[[#This Row],[ProductID]],Products!A:D,3)</f>
        <v>Clothing</v>
      </c>
      <c r="I84">
        <f>VLOOKUP(Table1[[#This Row],[ProductID]],Products!$A:$D,4)</f>
        <v>216.72</v>
      </c>
      <c r="J84" t="str">
        <f>VLOOKUP(Table1[[#This Row],[CustomerID]],Customer_info!$A:$D,4)</f>
        <v>UK</v>
      </c>
      <c r="K84">
        <f>Table1[[#This Row],[Quantity]]*Table1[[#This Row],[UnitPrice]]</f>
        <v>216.72</v>
      </c>
    </row>
    <row r="85" spans="1:11">
      <c r="A85" t="s">
        <v>181</v>
      </c>
      <c r="B85" s="1">
        <v>45425</v>
      </c>
      <c r="C85" t="s">
        <v>182</v>
      </c>
      <c r="D85" t="s">
        <v>136</v>
      </c>
      <c r="E85">
        <v>1</v>
      </c>
      <c r="F85">
        <v>431.22</v>
      </c>
      <c r="G85" t="str">
        <f>VLOOKUP(Table1[[#This Row],[ProductID]],Products!A:D,2)</f>
        <v>Product_1</v>
      </c>
      <c r="H85" t="str">
        <f>VLOOKUP(Table1[[#This Row],[ProductID]],Products!A:D,3)</f>
        <v>Electronics</v>
      </c>
      <c r="I85">
        <f>VLOOKUP(Table1[[#This Row],[ProductID]],Products!$A:$D,4)</f>
        <v>431.22</v>
      </c>
      <c r="J85" t="str">
        <f>VLOOKUP(Table1[[#This Row],[CustomerID]],Customer_info!$A:$D,4)</f>
        <v>Canada</v>
      </c>
      <c r="K85">
        <f>Table1[[#This Row],[Quantity]]*Table1[[#This Row],[UnitPrice]]</f>
        <v>431.22</v>
      </c>
    </row>
    <row r="86" spans="1:11">
      <c r="A86" t="s">
        <v>183</v>
      </c>
      <c r="B86" s="1">
        <v>45467</v>
      </c>
      <c r="C86" t="s">
        <v>57</v>
      </c>
      <c r="D86" t="s">
        <v>136</v>
      </c>
      <c r="E86">
        <v>5</v>
      </c>
      <c r="F86">
        <v>2156.1</v>
      </c>
      <c r="G86" t="str">
        <f>VLOOKUP(Table1[[#This Row],[ProductID]],Products!A:D,2)</f>
        <v>Product_1</v>
      </c>
      <c r="H86" t="str">
        <f>VLOOKUP(Table1[[#This Row],[ProductID]],Products!A:D,3)</f>
        <v>Electronics</v>
      </c>
      <c r="I86">
        <f>VLOOKUP(Table1[[#This Row],[ProductID]],Products!$A:$D,4)</f>
        <v>431.22</v>
      </c>
      <c r="J86" t="str">
        <f>VLOOKUP(Table1[[#This Row],[CustomerID]],Customer_info!$A:$D,4)</f>
        <v>UK</v>
      </c>
      <c r="K86">
        <f>Table1[[#This Row],[Quantity]]*Table1[[#This Row],[UnitPrice]]</f>
        <v>2156.1000000000004</v>
      </c>
    </row>
    <row r="87" spans="1:11">
      <c r="A87" t="s">
        <v>184</v>
      </c>
      <c r="B87" s="1">
        <v>45385</v>
      </c>
      <c r="C87" t="s">
        <v>185</v>
      </c>
      <c r="D87" t="s">
        <v>98</v>
      </c>
      <c r="E87">
        <v>2</v>
      </c>
      <c r="F87">
        <v>263.68</v>
      </c>
      <c r="G87" t="str">
        <f>VLOOKUP(Table1[[#This Row],[ProductID]],Products!A:D,2)</f>
        <v>Product_14</v>
      </c>
      <c r="H87" t="str">
        <f>VLOOKUP(Table1[[#This Row],[ProductID]],Products!A:D,3)</f>
        <v>Electronics</v>
      </c>
      <c r="I87">
        <f>VLOOKUP(Table1[[#This Row],[ProductID]],Products!$A:$D,4)</f>
        <v>131.84</v>
      </c>
      <c r="J87" t="str">
        <f>VLOOKUP(Table1[[#This Row],[CustomerID]],Customer_info!$A:$D,4)</f>
        <v>India</v>
      </c>
      <c r="K87">
        <f>Table1[[#This Row],[Quantity]]*Table1[[#This Row],[UnitPrice]]</f>
        <v>263.68</v>
      </c>
    </row>
    <row r="88" spans="1:11">
      <c r="A88" t="s">
        <v>186</v>
      </c>
      <c r="B88" s="1">
        <v>45309</v>
      </c>
      <c r="C88" t="s">
        <v>16</v>
      </c>
      <c r="D88" t="s">
        <v>152</v>
      </c>
      <c r="E88">
        <v>4</v>
      </c>
      <c r="F88">
        <v>1363.4</v>
      </c>
      <c r="G88" t="str">
        <f>VLOOKUP(Table1[[#This Row],[ProductID]],Products!A:D,2)</f>
        <v>Product_38</v>
      </c>
      <c r="H88" t="str">
        <f>VLOOKUP(Table1[[#This Row],[ProductID]],Products!A:D,3)</f>
        <v>Electronics</v>
      </c>
      <c r="I88">
        <f>VLOOKUP(Table1[[#This Row],[ProductID]],Products!$A:$D,4)</f>
        <v>340.85</v>
      </c>
      <c r="J88" t="str">
        <f>VLOOKUP(Table1[[#This Row],[CustomerID]],Customer_info!$A:$D,4)</f>
        <v>Canada</v>
      </c>
      <c r="K88">
        <f>Table1[[#This Row],[Quantity]]*Table1[[#This Row],[UnitPrice]]</f>
        <v>1363.4</v>
      </c>
    </row>
    <row r="89" spans="1:11">
      <c r="A89" t="s">
        <v>187</v>
      </c>
      <c r="B89" s="1">
        <v>45451</v>
      </c>
      <c r="C89" t="s">
        <v>188</v>
      </c>
      <c r="D89" t="s">
        <v>81</v>
      </c>
      <c r="E89">
        <v>3</v>
      </c>
      <c r="F89">
        <v>1299.8399999999999</v>
      </c>
      <c r="G89" t="str">
        <f>VLOOKUP(Table1[[#This Row],[ProductID]],Products!A:D,2)</f>
        <v>Product_10</v>
      </c>
      <c r="H89" t="str">
        <f>VLOOKUP(Table1[[#This Row],[ProductID]],Products!A:D,3)</f>
        <v>Beauty</v>
      </c>
      <c r="I89">
        <f>VLOOKUP(Table1[[#This Row],[ProductID]],Products!$A:$D,4)</f>
        <v>433.28</v>
      </c>
      <c r="J89" t="str">
        <f>VLOOKUP(Table1[[#This Row],[CustomerID]],Customer_info!$A:$D,4)</f>
        <v>UK</v>
      </c>
      <c r="K89">
        <f>Table1[[#This Row],[Quantity]]*Table1[[#This Row],[UnitPrice]]</f>
        <v>1299.8399999999999</v>
      </c>
    </row>
    <row r="90" spans="1:11">
      <c r="A90" t="s">
        <v>189</v>
      </c>
      <c r="B90" s="1">
        <v>45461</v>
      </c>
      <c r="C90" t="s">
        <v>46</v>
      </c>
      <c r="D90" t="s">
        <v>72</v>
      </c>
      <c r="E90">
        <v>3</v>
      </c>
      <c r="F90">
        <v>650.16</v>
      </c>
      <c r="G90" t="str">
        <f>VLOOKUP(Table1[[#This Row],[ProductID]],Products!A:D,2)</f>
        <v>Product_16</v>
      </c>
      <c r="H90" t="str">
        <f>VLOOKUP(Table1[[#This Row],[ProductID]],Products!A:D,3)</f>
        <v>Clothing</v>
      </c>
      <c r="I90">
        <f>VLOOKUP(Table1[[#This Row],[ProductID]],Products!$A:$D,4)</f>
        <v>216.72</v>
      </c>
      <c r="J90" t="str">
        <f>VLOOKUP(Table1[[#This Row],[CustomerID]],Customer_info!$A:$D,4)</f>
        <v>UK</v>
      </c>
      <c r="K90">
        <f>Table1[[#This Row],[Quantity]]*Table1[[#This Row],[UnitPrice]]</f>
        <v>650.16</v>
      </c>
    </row>
    <row r="91" spans="1:11">
      <c r="A91" t="s">
        <v>190</v>
      </c>
      <c r="B91" s="1">
        <v>45368</v>
      </c>
      <c r="C91" t="s">
        <v>22</v>
      </c>
      <c r="D91" t="s">
        <v>23</v>
      </c>
      <c r="E91">
        <v>1</v>
      </c>
      <c r="F91">
        <v>103.3</v>
      </c>
      <c r="G91" t="str">
        <f>VLOOKUP(Table1[[#This Row],[ProductID]],Products!A:D,2)</f>
        <v>Product_7</v>
      </c>
      <c r="H91" t="str">
        <f>VLOOKUP(Table1[[#This Row],[ProductID]],Products!A:D,3)</f>
        <v>Beauty</v>
      </c>
      <c r="I91">
        <f>VLOOKUP(Table1[[#This Row],[ProductID]],Products!$A:$D,4)</f>
        <v>103.3</v>
      </c>
      <c r="J91" t="str">
        <f>VLOOKUP(Table1[[#This Row],[CustomerID]],Customer_info!$A:$D,4)</f>
        <v>US</v>
      </c>
      <c r="K91">
        <f>Table1[[#This Row],[Quantity]]*Table1[[#This Row],[UnitPrice]]</f>
        <v>103.3</v>
      </c>
    </row>
    <row r="92" spans="1:11">
      <c r="A92" t="s">
        <v>191</v>
      </c>
      <c r="B92" s="1">
        <v>45371</v>
      </c>
      <c r="C92" t="s">
        <v>62</v>
      </c>
      <c r="D92" t="s">
        <v>124</v>
      </c>
      <c r="E92">
        <v>5</v>
      </c>
      <c r="F92">
        <v>198.5</v>
      </c>
      <c r="G92" t="str">
        <f>VLOOKUP(Table1[[#This Row],[ProductID]],Products!A:D,2)</f>
        <v>Product_12</v>
      </c>
      <c r="H92" t="str">
        <f>VLOOKUP(Table1[[#This Row],[ProductID]],Products!A:D,3)</f>
        <v>Electronics</v>
      </c>
      <c r="I92">
        <f>VLOOKUP(Table1[[#This Row],[ProductID]],Products!$A:$D,4)</f>
        <v>39.700000000000003</v>
      </c>
      <c r="J92" t="str">
        <f>VLOOKUP(Table1[[#This Row],[CustomerID]],Customer_info!$A:$D,4)</f>
        <v>Canada</v>
      </c>
      <c r="K92">
        <f>Table1[[#This Row],[Quantity]]*Table1[[#This Row],[UnitPrice]]</f>
        <v>198.5</v>
      </c>
    </row>
    <row r="93" spans="1:11">
      <c r="A93" t="s">
        <v>192</v>
      </c>
      <c r="B93" s="1">
        <v>45375</v>
      </c>
      <c r="C93" t="s">
        <v>65</v>
      </c>
      <c r="D93" t="s">
        <v>35</v>
      </c>
      <c r="E93">
        <v>4</v>
      </c>
      <c r="F93">
        <v>1169.3599999999999</v>
      </c>
      <c r="G93" t="str">
        <f>VLOOKUP(Table1[[#This Row],[ProductID]],Products!A:D,2)</f>
        <v>Product_5</v>
      </c>
      <c r="H93" t="str">
        <f>VLOOKUP(Table1[[#This Row],[ProductID]],Products!A:D,3)</f>
        <v>Sports</v>
      </c>
      <c r="I93">
        <f>VLOOKUP(Table1[[#This Row],[ProductID]],Products!$A:$D,4)</f>
        <v>292.33999999999997</v>
      </c>
      <c r="J93" t="str">
        <f>VLOOKUP(Table1[[#This Row],[CustomerID]],Customer_info!$A:$D,4)</f>
        <v>India</v>
      </c>
      <c r="K93">
        <f>Table1[[#This Row],[Quantity]]*Table1[[#This Row],[UnitPrice]]</f>
        <v>1169.3599999999999</v>
      </c>
    </row>
    <row r="94" spans="1:11">
      <c r="A94" t="s">
        <v>193</v>
      </c>
      <c r="B94" s="1">
        <v>45470</v>
      </c>
      <c r="C94" t="s">
        <v>62</v>
      </c>
      <c r="D94" t="s">
        <v>98</v>
      </c>
      <c r="E94">
        <v>4</v>
      </c>
      <c r="F94">
        <v>527.36</v>
      </c>
      <c r="G94" t="str">
        <f>VLOOKUP(Table1[[#This Row],[ProductID]],Products!A:D,2)</f>
        <v>Product_14</v>
      </c>
      <c r="H94" t="str">
        <f>VLOOKUP(Table1[[#This Row],[ProductID]],Products!A:D,3)</f>
        <v>Electronics</v>
      </c>
      <c r="I94">
        <f>VLOOKUP(Table1[[#This Row],[ProductID]],Products!$A:$D,4)</f>
        <v>131.84</v>
      </c>
      <c r="J94" t="str">
        <f>VLOOKUP(Table1[[#This Row],[CustomerID]],Customer_info!$A:$D,4)</f>
        <v>Canada</v>
      </c>
      <c r="K94">
        <f>Table1[[#This Row],[Quantity]]*Table1[[#This Row],[UnitPrice]]</f>
        <v>527.36</v>
      </c>
    </row>
    <row r="95" spans="1:11">
      <c r="A95" t="s">
        <v>194</v>
      </c>
      <c r="B95" s="1">
        <v>45433</v>
      </c>
      <c r="C95" t="s">
        <v>195</v>
      </c>
      <c r="D95" t="s">
        <v>196</v>
      </c>
      <c r="E95">
        <v>3</v>
      </c>
      <c r="F95">
        <v>737.61</v>
      </c>
      <c r="G95" t="str">
        <f>VLOOKUP(Table1[[#This Row],[ProductID]],Products!A:D,2)</f>
        <v>Product_23</v>
      </c>
      <c r="H95" t="str">
        <f>VLOOKUP(Table1[[#This Row],[ProductID]],Products!A:D,3)</f>
        <v>Beauty</v>
      </c>
      <c r="I95">
        <f>VLOOKUP(Table1[[#This Row],[ProductID]],Products!$A:$D,4)</f>
        <v>245.87</v>
      </c>
      <c r="J95" t="str">
        <f>VLOOKUP(Table1[[#This Row],[CustomerID]],Customer_info!$A:$D,4)</f>
        <v>UK</v>
      </c>
      <c r="K95">
        <f>Table1[[#This Row],[Quantity]]*Table1[[#This Row],[UnitPrice]]</f>
        <v>737.61</v>
      </c>
    </row>
    <row r="96" spans="1:11">
      <c r="A96" t="s">
        <v>197</v>
      </c>
      <c r="B96" s="1">
        <v>45341</v>
      </c>
      <c r="C96" t="s">
        <v>198</v>
      </c>
      <c r="D96" t="s">
        <v>81</v>
      </c>
      <c r="E96">
        <v>2</v>
      </c>
      <c r="F96">
        <v>866.56</v>
      </c>
      <c r="G96" t="str">
        <f>VLOOKUP(Table1[[#This Row],[ProductID]],Products!A:D,2)</f>
        <v>Product_10</v>
      </c>
      <c r="H96" t="str">
        <f>VLOOKUP(Table1[[#This Row],[ProductID]],Products!A:D,3)</f>
        <v>Beauty</v>
      </c>
      <c r="I96">
        <f>VLOOKUP(Table1[[#This Row],[ProductID]],Products!$A:$D,4)</f>
        <v>433.28</v>
      </c>
      <c r="J96" t="str">
        <f>VLOOKUP(Table1[[#This Row],[CustomerID]],Customer_info!$A:$D,4)</f>
        <v>UK</v>
      </c>
      <c r="K96">
        <f>Table1[[#This Row],[Quantity]]*Table1[[#This Row],[UnitPrice]]</f>
        <v>866.56</v>
      </c>
    </row>
    <row r="97" spans="1:11">
      <c r="A97" t="s">
        <v>199</v>
      </c>
      <c r="B97" s="1">
        <v>45462</v>
      </c>
      <c r="C97" t="s">
        <v>180</v>
      </c>
      <c r="D97" t="s">
        <v>196</v>
      </c>
      <c r="E97">
        <v>4</v>
      </c>
      <c r="F97">
        <v>983.48</v>
      </c>
      <c r="G97" t="str">
        <f>VLOOKUP(Table1[[#This Row],[ProductID]],Products!A:D,2)</f>
        <v>Product_23</v>
      </c>
      <c r="H97" t="str">
        <f>VLOOKUP(Table1[[#This Row],[ProductID]],Products!A:D,3)</f>
        <v>Beauty</v>
      </c>
      <c r="I97">
        <f>VLOOKUP(Table1[[#This Row],[ProductID]],Products!$A:$D,4)</f>
        <v>245.87</v>
      </c>
      <c r="J97" t="str">
        <f>VLOOKUP(Table1[[#This Row],[CustomerID]],Customer_info!$A:$D,4)</f>
        <v>UK</v>
      </c>
      <c r="K97">
        <f>Table1[[#This Row],[Quantity]]*Table1[[#This Row],[UnitPrice]]</f>
        <v>983.48</v>
      </c>
    </row>
    <row r="98" spans="1:11">
      <c r="A98" t="s">
        <v>200</v>
      </c>
      <c r="B98" s="1">
        <v>45465</v>
      </c>
      <c r="C98" t="s">
        <v>111</v>
      </c>
      <c r="D98" t="s">
        <v>108</v>
      </c>
      <c r="E98">
        <v>4</v>
      </c>
      <c r="F98">
        <v>197</v>
      </c>
      <c r="G98" t="str">
        <f>VLOOKUP(Table1[[#This Row],[ProductID]],Products!A:D,2)</f>
        <v>Product_36</v>
      </c>
      <c r="H98" t="str">
        <f>VLOOKUP(Table1[[#This Row],[ProductID]],Products!A:D,3)</f>
        <v>Sports</v>
      </c>
      <c r="I98">
        <f>VLOOKUP(Table1[[#This Row],[ProductID]],Products!$A:$D,4)</f>
        <v>49.25</v>
      </c>
      <c r="J98" t="str">
        <f>VLOOKUP(Table1[[#This Row],[CustomerID]],Customer_info!$A:$D,4)</f>
        <v>UK</v>
      </c>
      <c r="K98">
        <f>Table1[[#This Row],[Quantity]]*Table1[[#This Row],[UnitPrice]]</f>
        <v>197</v>
      </c>
    </row>
    <row r="99" spans="1:11">
      <c r="A99" t="s">
        <v>201</v>
      </c>
      <c r="B99" s="1">
        <v>45449</v>
      </c>
      <c r="C99" t="s">
        <v>202</v>
      </c>
      <c r="D99" t="s">
        <v>49</v>
      </c>
      <c r="E99">
        <v>2</v>
      </c>
      <c r="F99">
        <v>587.6</v>
      </c>
      <c r="G99" t="str">
        <f>VLOOKUP(Table1[[#This Row],[ProductID]],Products!A:D,2)</f>
        <v>Product_31</v>
      </c>
      <c r="H99" t="str">
        <f>VLOOKUP(Table1[[#This Row],[ProductID]],Products!A:D,3)</f>
        <v>Electronics</v>
      </c>
      <c r="I99">
        <f>VLOOKUP(Table1[[#This Row],[ProductID]],Products!$A:$D,4)</f>
        <v>293.8</v>
      </c>
      <c r="J99" t="str">
        <f>VLOOKUP(Table1[[#This Row],[CustomerID]],Customer_info!$A:$D,4)</f>
        <v>India</v>
      </c>
      <c r="K99">
        <f>Table1[[#This Row],[Quantity]]*Table1[[#This Row],[UnitPrice]]</f>
        <v>587.6</v>
      </c>
    </row>
    <row r="100" spans="1:11">
      <c r="A100" t="s">
        <v>203</v>
      </c>
      <c r="B100" s="1">
        <v>45369</v>
      </c>
      <c r="C100" t="s">
        <v>135</v>
      </c>
      <c r="D100" t="s">
        <v>146</v>
      </c>
      <c r="E100">
        <v>5</v>
      </c>
      <c r="F100">
        <v>1664.5</v>
      </c>
      <c r="G100" t="str">
        <f>VLOOKUP(Table1[[#This Row],[ProductID]],Products!A:D,2)</f>
        <v>Product_8</v>
      </c>
      <c r="H100" t="str">
        <f>VLOOKUP(Table1[[#This Row],[ProductID]],Products!A:D,3)</f>
        <v>Electronics</v>
      </c>
      <c r="I100">
        <f>VLOOKUP(Table1[[#This Row],[ProductID]],Products!$A:$D,4)</f>
        <v>332.9</v>
      </c>
      <c r="J100" t="str">
        <f>VLOOKUP(Table1[[#This Row],[CustomerID]],Customer_info!$A:$D,4)</f>
        <v>India</v>
      </c>
      <c r="K100">
        <f>Table1[[#This Row],[Quantity]]*Table1[[#This Row],[UnitPrice]]</f>
        <v>1664.5</v>
      </c>
    </row>
    <row r="101" spans="1:11">
      <c r="A101" t="s">
        <v>204</v>
      </c>
      <c r="B101" s="1">
        <v>45432</v>
      </c>
      <c r="C101" t="s">
        <v>83</v>
      </c>
      <c r="D101" t="s">
        <v>129</v>
      </c>
      <c r="E101">
        <v>4</v>
      </c>
      <c r="F101">
        <v>466.68</v>
      </c>
      <c r="G101" t="str">
        <f>VLOOKUP(Table1[[#This Row],[ProductID]],Products!A:D,2)</f>
        <v>Product_30</v>
      </c>
      <c r="H101" t="str">
        <f>VLOOKUP(Table1[[#This Row],[ProductID]],Products!A:D,3)</f>
        <v>Home</v>
      </c>
      <c r="I101">
        <f>VLOOKUP(Table1[[#This Row],[ProductID]],Products!$A:$D,4)</f>
        <v>116.67</v>
      </c>
      <c r="J101" t="str">
        <f>VLOOKUP(Table1[[#This Row],[CustomerID]],Customer_info!$A:$D,4)</f>
        <v>UK</v>
      </c>
      <c r="K101">
        <f>Table1[[#This Row],[Quantity]]*Table1[[#This Row],[UnitPrice]]</f>
        <v>466.68</v>
      </c>
    </row>
    <row r="102" spans="1:11">
      <c r="A102" t="s">
        <v>205</v>
      </c>
      <c r="B102" s="1">
        <v>45369</v>
      </c>
      <c r="C102" t="s">
        <v>206</v>
      </c>
      <c r="D102" t="s">
        <v>49</v>
      </c>
      <c r="E102">
        <v>1</v>
      </c>
      <c r="F102">
        <v>293.8</v>
      </c>
      <c r="G102" t="str">
        <f>VLOOKUP(Table1[[#This Row],[ProductID]],Products!A:D,2)</f>
        <v>Product_31</v>
      </c>
      <c r="H102" t="str">
        <f>VLOOKUP(Table1[[#This Row],[ProductID]],Products!A:D,3)</f>
        <v>Electronics</v>
      </c>
      <c r="I102">
        <f>VLOOKUP(Table1[[#This Row],[ProductID]],Products!$A:$D,4)</f>
        <v>293.8</v>
      </c>
      <c r="J102" t="str">
        <f>VLOOKUP(Table1[[#This Row],[CustomerID]],Customer_info!$A:$D,4)</f>
        <v>Canada</v>
      </c>
      <c r="K102">
        <f>Table1[[#This Row],[Quantity]]*Table1[[#This Row],[UnitPrice]]</f>
        <v>293.8</v>
      </c>
    </row>
    <row r="103" spans="1:11">
      <c r="A103" t="s">
        <v>207</v>
      </c>
      <c r="B103" s="1">
        <v>45345</v>
      </c>
      <c r="C103" t="s">
        <v>97</v>
      </c>
      <c r="D103" t="s">
        <v>8</v>
      </c>
      <c r="E103">
        <v>3</v>
      </c>
      <c r="F103">
        <v>1258.95</v>
      </c>
      <c r="G103" t="str">
        <f>VLOOKUP(Table1[[#This Row],[ProductID]],Products!A:D,2)</f>
        <v>Product_20</v>
      </c>
      <c r="H103" t="str">
        <f>VLOOKUP(Table1[[#This Row],[ProductID]],Products!A:D,3)</f>
        <v>Sports</v>
      </c>
      <c r="I103">
        <f>VLOOKUP(Table1[[#This Row],[ProductID]],Products!$A:$D,4)</f>
        <v>419.65</v>
      </c>
      <c r="J103" t="str">
        <f>VLOOKUP(Table1[[#This Row],[CustomerID]],Customer_info!$A:$D,4)</f>
        <v>US</v>
      </c>
      <c r="K103">
        <f>Table1[[#This Row],[Quantity]]*Table1[[#This Row],[UnitPrice]]</f>
        <v>1258.9499999999998</v>
      </c>
    </row>
    <row r="104" spans="1:11">
      <c r="A104" t="s">
        <v>208</v>
      </c>
      <c r="B104" s="1">
        <v>45440</v>
      </c>
      <c r="C104" t="s">
        <v>209</v>
      </c>
      <c r="D104" t="s">
        <v>14</v>
      </c>
      <c r="E104">
        <v>4</v>
      </c>
      <c r="F104">
        <v>946.76</v>
      </c>
      <c r="G104" t="str">
        <f>VLOOKUP(Table1[[#This Row],[ProductID]],Products!A:D,2)</f>
        <v>Product_17</v>
      </c>
      <c r="H104" t="str">
        <f>VLOOKUP(Table1[[#This Row],[ProductID]],Products!A:D,3)</f>
        <v>Home</v>
      </c>
      <c r="I104">
        <f>VLOOKUP(Table1[[#This Row],[ProductID]],Products!$A:$D,4)</f>
        <v>236.69</v>
      </c>
      <c r="J104" t="str">
        <f>VLOOKUP(Table1[[#This Row],[CustomerID]],Customer_info!$A:$D,4)</f>
        <v>India</v>
      </c>
      <c r="K104">
        <f>Table1[[#This Row],[Quantity]]*Table1[[#This Row],[UnitPrice]]</f>
        <v>946.76</v>
      </c>
    </row>
    <row r="105" spans="1:11">
      <c r="A105" t="s">
        <v>210</v>
      </c>
      <c r="B105" s="1">
        <v>45459</v>
      </c>
      <c r="C105" t="s">
        <v>211</v>
      </c>
      <c r="D105" t="s">
        <v>148</v>
      </c>
      <c r="E105">
        <v>5</v>
      </c>
      <c r="F105">
        <v>1699.75</v>
      </c>
      <c r="G105" t="str">
        <f>VLOOKUP(Table1[[#This Row],[ProductID]],Products!A:D,2)</f>
        <v>Product_11</v>
      </c>
      <c r="H105" t="str">
        <f>VLOOKUP(Table1[[#This Row],[ProductID]],Products!A:D,3)</f>
        <v>Electronics</v>
      </c>
      <c r="I105">
        <f>VLOOKUP(Table1[[#This Row],[ProductID]],Products!$A:$D,4)</f>
        <v>339.95</v>
      </c>
      <c r="J105" t="str">
        <f>VLOOKUP(Table1[[#This Row],[CustomerID]],Customer_info!$A:$D,4)</f>
        <v>US</v>
      </c>
      <c r="K105">
        <f>Table1[[#This Row],[Quantity]]*Table1[[#This Row],[UnitPrice]]</f>
        <v>1699.75</v>
      </c>
    </row>
    <row r="106" spans="1:11">
      <c r="A106" t="s">
        <v>212</v>
      </c>
      <c r="B106" s="1">
        <v>45411</v>
      </c>
      <c r="C106" t="s">
        <v>97</v>
      </c>
      <c r="D106" t="s">
        <v>98</v>
      </c>
      <c r="E106">
        <v>3</v>
      </c>
      <c r="F106">
        <v>395.52</v>
      </c>
      <c r="G106" t="str">
        <f>VLOOKUP(Table1[[#This Row],[ProductID]],Products!A:D,2)</f>
        <v>Product_14</v>
      </c>
      <c r="H106" t="str">
        <f>VLOOKUP(Table1[[#This Row],[ProductID]],Products!A:D,3)</f>
        <v>Electronics</v>
      </c>
      <c r="I106">
        <f>VLOOKUP(Table1[[#This Row],[ProductID]],Products!$A:$D,4)</f>
        <v>131.84</v>
      </c>
      <c r="J106" t="str">
        <f>VLOOKUP(Table1[[#This Row],[CustomerID]],Customer_info!$A:$D,4)</f>
        <v>US</v>
      </c>
      <c r="K106">
        <f>Table1[[#This Row],[Quantity]]*Table1[[#This Row],[UnitPrice]]</f>
        <v>395.52</v>
      </c>
    </row>
    <row r="107" spans="1:11">
      <c r="A107" t="s">
        <v>213</v>
      </c>
      <c r="B107" s="1">
        <v>45405</v>
      </c>
      <c r="C107" t="s">
        <v>214</v>
      </c>
      <c r="D107" t="s">
        <v>60</v>
      </c>
      <c r="E107">
        <v>4</v>
      </c>
      <c r="F107">
        <v>365.96</v>
      </c>
      <c r="G107" t="str">
        <f>VLOOKUP(Table1[[#This Row],[ProductID]],Products!A:D,2)</f>
        <v>Product_22</v>
      </c>
      <c r="H107" t="str">
        <f>VLOOKUP(Table1[[#This Row],[ProductID]],Products!A:D,3)</f>
        <v>Clothing</v>
      </c>
      <c r="I107">
        <f>VLOOKUP(Table1[[#This Row],[ProductID]],Products!$A:$D,4)</f>
        <v>91.49</v>
      </c>
      <c r="J107" t="str">
        <f>VLOOKUP(Table1[[#This Row],[CustomerID]],Customer_info!$A:$D,4)</f>
        <v>UK</v>
      </c>
      <c r="K107">
        <f>Table1[[#This Row],[Quantity]]*Table1[[#This Row],[UnitPrice]]</f>
        <v>365.96</v>
      </c>
    </row>
    <row r="108" spans="1:11">
      <c r="A108" t="s">
        <v>215</v>
      </c>
      <c r="B108" s="1">
        <v>45422</v>
      </c>
      <c r="C108" t="s">
        <v>30</v>
      </c>
      <c r="D108" t="s">
        <v>55</v>
      </c>
      <c r="E108">
        <v>2</v>
      </c>
      <c r="F108">
        <v>261.3</v>
      </c>
      <c r="G108" t="str">
        <f>VLOOKUP(Table1[[#This Row],[ProductID]],Products!A:D,2)</f>
        <v>Product_40</v>
      </c>
      <c r="H108" t="str">
        <f>VLOOKUP(Table1[[#This Row],[ProductID]],Products!A:D,3)</f>
        <v>Sports</v>
      </c>
      <c r="I108">
        <f>VLOOKUP(Table1[[#This Row],[ProductID]],Products!$A:$D,4)</f>
        <v>130.65</v>
      </c>
      <c r="J108" t="str">
        <f>VLOOKUP(Table1[[#This Row],[CustomerID]],Customer_info!$A:$D,4)</f>
        <v>UK</v>
      </c>
      <c r="K108">
        <f>Table1[[#This Row],[Quantity]]*Table1[[#This Row],[UnitPrice]]</f>
        <v>261.3</v>
      </c>
    </row>
    <row r="109" spans="1:11">
      <c r="A109" t="s">
        <v>216</v>
      </c>
      <c r="B109" s="1">
        <v>45335</v>
      </c>
      <c r="C109" t="s">
        <v>10</v>
      </c>
      <c r="D109" t="s">
        <v>72</v>
      </c>
      <c r="E109">
        <v>4</v>
      </c>
      <c r="F109">
        <v>866.88</v>
      </c>
      <c r="G109" t="str">
        <f>VLOOKUP(Table1[[#This Row],[ProductID]],Products!A:D,2)</f>
        <v>Product_16</v>
      </c>
      <c r="H109" t="str">
        <f>VLOOKUP(Table1[[#This Row],[ProductID]],Products!A:D,3)</f>
        <v>Clothing</v>
      </c>
      <c r="I109">
        <f>VLOOKUP(Table1[[#This Row],[ProductID]],Products!$A:$D,4)</f>
        <v>216.72</v>
      </c>
      <c r="J109" t="str">
        <f>VLOOKUP(Table1[[#This Row],[CustomerID]],Customer_info!$A:$D,4)</f>
        <v>India</v>
      </c>
      <c r="K109">
        <f>Table1[[#This Row],[Quantity]]*Table1[[#This Row],[UnitPrice]]</f>
        <v>866.88</v>
      </c>
    </row>
    <row r="110" spans="1:11">
      <c r="A110" t="s">
        <v>217</v>
      </c>
      <c r="B110" s="1">
        <v>45364</v>
      </c>
      <c r="C110" t="s">
        <v>218</v>
      </c>
      <c r="D110" t="s">
        <v>44</v>
      </c>
      <c r="E110">
        <v>1</v>
      </c>
      <c r="F110">
        <v>272.77999999999997</v>
      </c>
      <c r="G110" t="str">
        <f>VLOOKUP(Table1[[#This Row],[ProductID]],Products!A:D,2)</f>
        <v>Product_15</v>
      </c>
      <c r="H110" t="str">
        <f>VLOOKUP(Table1[[#This Row],[ProductID]],Products!A:D,3)</f>
        <v>Clothing</v>
      </c>
      <c r="I110">
        <f>VLOOKUP(Table1[[#This Row],[ProductID]],Products!$A:$D,4)</f>
        <v>272.77999999999997</v>
      </c>
      <c r="J110" t="str">
        <f>VLOOKUP(Table1[[#This Row],[CustomerID]],Customer_info!$A:$D,4)</f>
        <v>US</v>
      </c>
      <c r="K110">
        <f>Table1[[#This Row],[Quantity]]*Table1[[#This Row],[UnitPrice]]</f>
        <v>272.77999999999997</v>
      </c>
    </row>
    <row r="111" spans="1:11">
      <c r="A111" t="s">
        <v>219</v>
      </c>
      <c r="B111" s="1">
        <v>45461</v>
      </c>
      <c r="C111" t="s">
        <v>182</v>
      </c>
      <c r="D111" t="s">
        <v>196</v>
      </c>
      <c r="E111">
        <v>5</v>
      </c>
      <c r="F111">
        <v>1229.3499999999999</v>
      </c>
      <c r="G111" t="str">
        <f>VLOOKUP(Table1[[#This Row],[ProductID]],Products!A:D,2)</f>
        <v>Product_23</v>
      </c>
      <c r="H111" t="str">
        <f>VLOOKUP(Table1[[#This Row],[ProductID]],Products!A:D,3)</f>
        <v>Beauty</v>
      </c>
      <c r="I111">
        <f>VLOOKUP(Table1[[#This Row],[ProductID]],Products!$A:$D,4)</f>
        <v>245.87</v>
      </c>
      <c r="J111" t="str">
        <f>VLOOKUP(Table1[[#This Row],[CustomerID]],Customer_info!$A:$D,4)</f>
        <v>Canada</v>
      </c>
      <c r="K111">
        <f>Table1[[#This Row],[Quantity]]*Table1[[#This Row],[UnitPrice]]</f>
        <v>1229.3499999999999</v>
      </c>
    </row>
    <row r="112" spans="1:11">
      <c r="A112" t="s">
        <v>220</v>
      </c>
      <c r="B112" s="1">
        <v>45377</v>
      </c>
      <c r="C112" t="s">
        <v>111</v>
      </c>
      <c r="D112" t="s">
        <v>68</v>
      </c>
      <c r="E112">
        <v>5</v>
      </c>
      <c r="F112">
        <v>2011.45</v>
      </c>
      <c r="G112" t="str">
        <f>VLOOKUP(Table1[[#This Row],[ProductID]],Products!A:D,2)</f>
        <v>Product_13</v>
      </c>
      <c r="H112" t="str">
        <f>VLOOKUP(Table1[[#This Row],[ProductID]],Products!A:D,3)</f>
        <v>Home</v>
      </c>
      <c r="I112">
        <f>VLOOKUP(Table1[[#This Row],[ProductID]],Products!$A:$D,4)</f>
        <v>402.29</v>
      </c>
      <c r="J112" t="str">
        <f>VLOOKUP(Table1[[#This Row],[CustomerID]],Customer_info!$A:$D,4)</f>
        <v>UK</v>
      </c>
      <c r="K112">
        <f>Table1[[#This Row],[Quantity]]*Table1[[#This Row],[UnitPrice]]</f>
        <v>2011.45</v>
      </c>
    </row>
    <row r="113" spans="1:11">
      <c r="A113" t="s">
        <v>221</v>
      </c>
      <c r="B113" s="1">
        <v>45352</v>
      </c>
      <c r="C113" t="s">
        <v>222</v>
      </c>
      <c r="D113" t="s">
        <v>28</v>
      </c>
      <c r="E113">
        <v>1</v>
      </c>
      <c r="F113">
        <v>452.2</v>
      </c>
      <c r="G113" t="str">
        <f>VLOOKUP(Table1[[#This Row],[ProductID]],Products!A:D,2)</f>
        <v>Product_24</v>
      </c>
      <c r="H113" t="str">
        <f>VLOOKUP(Table1[[#This Row],[ProductID]],Products!A:D,3)</f>
        <v>Beauty</v>
      </c>
      <c r="I113">
        <f>VLOOKUP(Table1[[#This Row],[ProductID]],Products!$A:$D,4)</f>
        <v>452.2</v>
      </c>
      <c r="J113" t="str">
        <f>VLOOKUP(Table1[[#This Row],[CustomerID]],Customer_info!$A:$D,4)</f>
        <v>India</v>
      </c>
      <c r="K113">
        <f>Table1[[#This Row],[Quantity]]*Table1[[#This Row],[UnitPrice]]</f>
        <v>452.2</v>
      </c>
    </row>
    <row r="114" spans="1:11">
      <c r="A114" t="s">
        <v>223</v>
      </c>
      <c r="B114" s="1">
        <v>45349</v>
      </c>
      <c r="C114" t="s">
        <v>188</v>
      </c>
      <c r="D114" t="s">
        <v>28</v>
      </c>
      <c r="E114">
        <v>3</v>
      </c>
      <c r="F114">
        <v>1356.6</v>
      </c>
      <c r="G114" t="str">
        <f>VLOOKUP(Table1[[#This Row],[ProductID]],Products!A:D,2)</f>
        <v>Product_24</v>
      </c>
      <c r="H114" t="str">
        <f>VLOOKUP(Table1[[#This Row],[ProductID]],Products!A:D,3)</f>
        <v>Beauty</v>
      </c>
      <c r="I114">
        <f>VLOOKUP(Table1[[#This Row],[ProductID]],Products!$A:$D,4)</f>
        <v>452.2</v>
      </c>
      <c r="J114" t="str">
        <f>VLOOKUP(Table1[[#This Row],[CustomerID]],Customer_info!$A:$D,4)</f>
        <v>UK</v>
      </c>
      <c r="K114">
        <f>Table1[[#This Row],[Quantity]]*Table1[[#This Row],[UnitPrice]]</f>
        <v>1356.6</v>
      </c>
    </row>
    <row r="115" spans="1:11">
      <c r="A115" t="s">
        <v>224</v>
      </c>
      <c r="B115" s="1">
        <v>45329</v>
      </c>
      <c r="C115" t="s">
        <v>198</v>
      </c>
      <c r="D115" t="s">
        <v>225</v>
      </c>
      <c r="E115">
        <v>2</v>
      </c>
      <c r="F115">
        <v>927.84</v>
      </c>
      <c r="G115" t="str">
        <f>VLOOKUP(Table1[[#This Row],[ProductID]],Products!A:D,2)</f>
        <v>Product_21</v>
      </c>
      <c r="H115" t="str">
        <f>VLOOKUP(Table1[[#This Row],[ProductID]],Products!A:D,3)</f>
        <v>Electronics</v>
      </c>
      <c r="I115">
        <f>VLOOKUP(Table1[[#This Row],[ProductID]],Products!$A:$D,4)</f>
        <v>463.92</v>
      </c>
      <c r="J115" t="str">
        <f>VLOOKUP(Table1[[#This Row],[CustomerID]],Customer_info!$A:$D,4)</f>
        <v>UK</v>
      </c>
      <c r="K115">
        <f>Table1[[#This Row],[Quantity]]*Table1[[#This Row],[UnitPrice]]</f>
        <v>927.84</v>
      </c>
    </row>
    <row r="116" spans="1:11">
      <c r="A116" t="s">
        <v>226</v>
      </c>
      <c r="B116" s="1">
        <v>45303</v>
      </c>
      <c r="C116" t="s">
        <v>131</v>
      </c>
      <c r="D116" t="s">
        <v>98</v>
      </c>
      <c r="E116">
        <v>1</v>
      </c>
      <c r="F116">
        <v>131.84</v>
      </c>
      <c r="G116" t="str">
        <f>VLOOKUP(Table1[[#This Row],[ProductID]],Products!A:D,2)</f>
        <v>Product_14</v>
      </c>
      <c r="H116" t="str">
        <f>VLOOKUP(Table1[[#This Row],[ProductID]],Products!A:D,3)</f>
        <v>Electronics</v>
      </c>
      <c r="I116">
        <f>VLOOKUP(Table1[[#This Row],[ProductID]],Products!$A:$D,4)</f>
        <v>131.84</v>
      </c>
      <c r="J116" t="str">
        <f>VLOOKUP(Table1[[#This Row],[CustomerID]],Customer_info!$A:$D,4)</f>
        <v>Canada</v>
      </c>
      <c r="K116">
        <f>Table1[[#This Row],[Quantity]]*Table1[[#This Row],[UnitPrice]]</f>
        <v>131.84</v>
      </c>
    </row>
    <row r="117" spans="1:11">
      <c r="A117" t="s">
        <v>227</v>
      </c>
      <c r="B117" s="1">
        <v>45413</v>
      </c>
      <c r="C117" t="s">
        <v>120</v>
      </c>
      <c r="D117" t="s">
        <v>63</v>
      </c>
      <c r="E117">
        <v>2</v>
      </c>
      <c r="F117">
        <v>115.96</v>
      </c>
      <c r="G117" t="str">
        <f>VLOOKUP(Table1[[#This Row],[ProductID]],Products!A:D,2)</f>
        <v>Product_19</v>
      </c>
      <c r="H117" t="str">
        <f>VLOOKUP(Table1[[#This Row],[ProductID]],Products!A:D,3)</f>
        <v>Sports</v>
      </c>
      <c r="I117">
        <f>VLOOKUP(Table1[[#This Row],[ProductID]],Products!$A:$D,4)</f>
        <v>57.98</v>
      </c>
      <c r="J117" t="str">
        <f>VLOOKUP(Table1[[#This Row],[CustomerID]],Customer_info!$A:$D,4)</f>
        <v>UK</v>
      </c>
      <c r="K117">
        <f>Table1[[#This Row],[Quantity]]*Table1[[#This Row],[UnitPrice]]</f>
        <v>115.96</v>
      </c>
    </row>
    <row r="118" spans="1:11">
      <c r="A118" t="s">
        <v>228</v>
      </c>
      <c r="B118" s="1">
        <v>45310</v>
      </c>
      <c r="C118" t="s">
        <v>229</v>
      </c>
      <c r="D118" t="s">
        <v>132</v>
      </c>
      <c r="E118">
        <v>5</v>
      </c>
      <c r="F118">
        <v>1689</v>
      </c>
      <c r="G118" t="str">
        <f>VLOOKUP(Table1[[#This Row],[ProductID]],Products!A:D,2)</f>
        <v>Product_3</v>
      </c>
      <c r="H118" t="str">
        <f>VLOOKUP(Table1[[#This Row],[ProductID]],Products!A:D,3)</f>
        <v>Home</v>
      </c>
      <c r="I118">
        <f>VLOOKUP(Table1[[#This Row],[ProductID]],Products!$A:$D,4)</f>
        <v>337.8</v>
      </c>
      <c r="J118" t="str">
        <f>VLOOKUP(Table1[[#This Row],[CustomerID]],Customer_info!$A:$D,4)</f>
        <v>UK</v>
      </c>
      <c r="K118">
        <f>Table1[[#This Row],[Quantity]]*Table1[[#This Row],[UnitPrice]]</f>
        <v>1689</v>
      </c>
    </row>
    <row r="119" spans="1:11">
      <c r="A119" t="s">
        <v>230</v>
      </c>
      <c r="B119" s="1">
        <v>45398</v>
      </c>
      <c r="C119" t="s">
        <v>95</v>
      </c>
      <c r="D119" t="s">
        <v>231</v>
      </c>
      <c r="E119">
        <v>4</v>
      </c>
      <c r="F119">
        <v>974.52</v>
      </c>
      <c r="G119" t="str">
        <f>VLOOKUP(Table1[[#This Row],[ProductID]],Products!A:D,2)</f>
        <v>Product_34</v>
      </c>
      <c r="H119" t="str">
        <f>VLOOKUP(Table1[[#This Row],[ProductID]],Products!A:D,3)</f>
        <v>Sports</v>
      </c>
      <c r="I119">
        <f>VLOOKUP(Table1[[#This Row],[ProductID]],Products!$A:$D,4)</f>
        <v>243.63</v>
      </c>
      <c r="J119" t="str">
        <f>VLOOKUP(Table1[[#This Row],[CustomerID]],Customer_info!$A:$D,4)</f>
        <v>UK</v>
      </c>
      <c r="K119">
        <f>Table1[[#This Row],[Quantity]]*Table1[[#This Row],[UnitPrice]]</f>
        <v>974.52</v>
      </c>
    </row>
    <row r="120" spans="1:11">
      <c r="A120" t="s">
        <v>232</v>
      </c>
      <c r="B120" s="1">
        <v>45341</v>
      </c>
      <c r="C120" t="s">
        <v>233</v>
      </c>
      <c r="D120" t="s">
        <v>72</v>
      </c>
      <c r="E120">
        <v>5</v>
      </c>
      <c r="F120">
        <v>1083.5999999999999</v>
      </c>
      <c r="G120" t="str">
        <f>VLOOKUP(Table1[[#This Row],[ProductID]],Products!A:D,2)</f>
        <v>Product_16</v>
      </c>
      <c r="H120" t="str">
        <f>VLOOKUP(Table1[[#This Row],[ProductID]],Products!A:D,3)</f>
        <v>Clothing</v>
      </c>
      <c r="I120">
        <f>VLOOKUP(Table1[[#This Row],[ProductID]],Products!$A:$D,4)</f>
        <v>216.72</v>
      </c>
      <c r="J120" t="str">
        <f>VLOOKUP(Table1[[#This Row],[CustomerID]],Customer_info!$A:$D,4)</f>
        <v>India</v>
      </c>
      <c r="K120">
        <f>Table1[[#This Row],[Quantity]]*Table1[[#This Row],[UnitPrice]]</f>
        <v>1083.5999999999999</v>
      </c>
    </row>
    <row r="121" spans="1:11">
      <c r="A121" t="s">
        <v>234</v>
      </c>
      <c r="B121" s="1">
        <v>45418</v>
      </c>
      <c r="C121" t="s">
        <v>235</v>
      </c>
      <c r="D121" t="s">
        <v>124</v>
      </c>
      <c r="E121">
        <v>4</v>
      </c>
      <c r="F121">
        <v>158.80000000000001</v>
      </c>
      <c r="G121" t="str">
        <f>VLOOKUP(Table1[[#This Row],[ProductID]],Products!A:D,2)</f>
        <v>Product_12</v>
      </c>
      <c r="H121" t="str">
        <f>VLOOKUP(Table1[[#This Row],[ProductID]],Products!A:D,3)</f>
        <v>Electronics</v>
      </c>
      <c r="I121">
        <f>VLOOKUP(Table1[[#This Row],[ProductID]],Products!$A:$D,4)</f>
        <v>39.700000000000003</v>
      </c>
      <c r="J121" t="str">
        <f>VLOOKUP(Table1[[#This Row],[CustomerID]],Customer_info!$A:$D,4)</f>
        <v>US</v>
      </c>
      <c r="K121">
        <f>Table1[[#This Row],[Quantity]]*Table1[[#This Row],[UnitPrice]]</f>
        <v>158.80000000000001</v>
      </c>
    </row>
    <row r="122" spans="1:11">
      <c r="A122" t="s">
        <v>236</v>
      </c>
      <c r="B122" s="1">
        <v>45354</v>
      </c>
      <c r="C122" t="s">
        <v>116</v>
      </c>
      <c r="D122" t="s">
        <v>146</v>
      </c>
      <c r="E122">
        <v>4</v>
      </c>
      <c r="F122">
        <v>1331.6</v>
      </c>
      <c r="G122" t="str">
        <f>VLOOKUP(Table1[[#This Row],[ProductID]],Products!A:D,2)</f>
        <v>Product_8</v>
      </c>
      <c r="H122" t="str">
        <f>VLOOKUP(Table1[[#This Row],[ProductID]],Products!A:D,3)</f>
        <v>Electronics</v>
      </c>
      <c r="I122">
        <f>VLOOKUP(Table1[[#This Row],[ProductID]],Products!$A:$D,4)</f>
        <v>332.9</v>
      </c>
      <c r="J122" t="str">
        <f>VLOOKUP(Table1[[#This Row],[CustomerID]],Customer_info!$A:$D,4)</f>
        <v>UK</v>
      </c>
      <c r="K122">
        <f>Table1[[#This Row],[Quantity]]*Table1[[#This Row],[UnitPrice]]</f>
        <v>1331.6</v>
      </c>
    </row>
    <row r="123" spans="1:11">
      <c r="A123" t="s">
        <v>237</v>
      </c>
      <c r="B123" s="1">
        <v>45459</v>
      </c>
      <c r="C123" t="s">
        <v>238</v>
      </c>
      <c r="D123" t="s">
        <v>11</v>
      </c>
      <c r="E123">
        <v>2</v>
      </c>
      <c r="F123">
        <v>79.739999999999995</v>
      </c>
      <c r="G123" t="str">
        <f>VLOOKUP(Table1[[#This Row],[ProductID]],Products!A:D,2)</f>
        <v>Product_32</v>
      </c>
      <c r="H123" t="str">
        <f>VLOOKUP(Table1[[#This Row],[ProductID]],Products!A:D,3)</f>
        <v>Sports</v>
      </c>
      <c r="I123">
        <f>VLOOKUP(Table1[[#This Row],[ProductID]],Products!$A:$D,4)</f>
        <v>39.869999999999997</v>
      </c>
      <c r="J123" t="str">
        <f>VLOOKUP(Table1[[#This Row],[CustomerID]],Customer_info!$A:$D,4)</f>
        <v>UK</v>
      </c>
      <c r="K123">
        <f>Table1[[#This Row],[Quantity]]*Table1[[#This Row],[UnitPrice]]</f>
        <v>79.739999999999995</v>
      </c>
    </row>
    <row r="124" spans="1:11">
      <c r="A124" t="s">
        <v>239</v>
      </c>
      <c r="B124" s="1">
        <v>45319</v>
      </c>
      <c r="C124" t="s">
        <v>48</v>
      </c>
      <c r="D124" t="s">
        <v>231</v>
      </c>
      <c r="E124">
        <v>1</v>
      </c>
      <c r="F124">
        <v>243.63</v>
      </c>
      <c r="G124" t="str">
        <f>VLOOKUP(Table1[[#This Row],[ProductID]],Products!A:D,2)</f>
        <v>Product_34</v>
      </c>
      <c r="H124" t="str">
        <f>VLOOKUP(Table1[[#This Row],[ProductID]],Products!A:D,3)</f>
        <v>Sports</v>
      </c>
      <c r="I124">
        <f>VLOOKUP(Table1[[#This Row],[ProductID]],Products!$A:$D,4)</f>
        <v>243.63</v>
      </c>
      <c r="J124" t="str">
        <f>VLOOKUP(Table1[[#This Row],[CustomerID]],Customer_info!$A:$D,4)</f>
        <v>Canada</v>
      </c>
      <c r="K124">
        <f>Table1[[#This Row],[Quantity]]*Table1[[#This Row],[UnitPrice]]</f>
        <v>243.63</v>
      </c>
    </row>
    <row r="125" spans="1:11">
      <c r="A125" t="s">
        <v>240</v>
      </c>
      <c r="B125" s="1">
        <v>45348</v>
      </c>
      <c r="C125" t="s">
        <v>241</v>
      </c>
      <c r="D125" t="s">
        <v>136</v>
      </c>
      <c r="E125">
        <v>4</v>
      </c>
      <c r="F125">
        <v>1724.88</v>
      </c>
      <c r="G125" t="str">
        <f>VLOOKUP(Table1[[#This Row],[ProductID]],Products!A:D,2)</f>
        <v>Product_1</v>
      </c>
      <c r="H125" t="str">
        <f>VLOOKUP(Table1[[#This Row],[ProductID]],Products!A:D,3)</f>
        <v>Electronics</v>
      </c>
      <c r="I125">
        <f>VLOOKUP(Table1[[#This Row],[ProductID]],Products!$A:$D,4)</f>
        <v>431.22</v>
      </c>
      <c r="J125" t="str">
        <f>VLOOKUP(Table1[[#This Row],[CustomerID]],Customer_info!$A:$D,4)</f>
        <v>US</v>
      </c>
      <c r="K125">
        <f>Table1[[#This Row],[Quantity]]*Table1[[#This Row],[UnitPrice]]</f>
        <v>1724.88</v>
      </c>
    </row>
    <row r="126" spans="1:11">
      <c r="A126" t="s">
        <v>242</v>
      </c>
      <c r="B126" s="1">
        <v>45470</v>
      </c>
      <c r="C126" t="s">
        <v>243</v>
      </c>
      <c r="D126" t="s">
        <v>72</v>
      </c>
      <c r="E126">
        <v>2</v>
      </c>
      <c r="F126">
        <v>433.44</v>
      </c>
      <c r="G126" t="str">
        <f>VLOOKUP(Table1[[#This Row],[ProductID]],Products!A:D,2)</f>
        <v>Product_16</v>
      </c>
      <c r="H126" t="str">
        <f>VLOOKUP(Table1[[#This Row],[ProductID]],Products!A:D,3)</f>
        <v>Clothing</v>
      </c>
      <c r="I126">
        <f>VLOOKUP(Table1[[#This Row],[ProductID]],Products!$A:$D,4)</f>
        <v>216.72</v>
      </c>
      <c r="J126" t="str">
        <f>VLOOKUP(Table1[[#This Row],[CustomerID]],Customer_info!$A:$D,4)</f>
        <v>India</v>
      </c>
      <c r="K126">
        <f>Table1[[#This Row],[Quantity]]*Table1[[#This Row],[UnitPrice]]</f>
        <v>433.44</v>
      </c>
    </row>
    <row r="127" spans="1:11">
      <c r="A127" t="s">
        <v>244</v>
      </c>
      <c r="B127" s="1">
        <v>45410</v>
      </c>
      <c r="C127" t="s">
        <v>245</v>
      </c>
      <c r="D127" t="s">
        <v>52</v>
      </c>
      <c r="E127">
        <v>5</v>
      </c>
      <c r="F127">
        <v>429.25</v>
      </c>
      <c r="G127" t="str">
        <f>VLOOKUP(Table1[[#This Row],[ProductID]],Products!A:D,2)</f>
        <v>Product_29</v>
      </c>
      <c r="H127" t="str">
        <f>VLOOKUP(Table1[[#This Row],[ProductID]],Products!A:D,3)</f>
        <v>Beauty</v>
      </c>
      <c r="I127">
        <f>VLOOKUP(Table1[[#This Row],[ProductID]],Products!$A:$D,4)</f>
        <v>85.85</v>
      </c>
      <c r="J127" t="str">
        <f>VLOOKUP(Table1[[#This Row],[CustomerID]],Customer_info!$A:$D,4)</f>
        <v>UK</v>
      </c>
      <c r="K127">
        <f>Table1[[#This Row],[Quantity]]*Table1[[#This Row],[UnitPrice]]</f>
        <v>429.25</v>
      </c>
    </row>
    <row r="128" spans="1:11">
      <c r="A128" t="s">
        <v>246</v>
      </c>
      <c r="B128" s="1">
        <v>45434</v>
      </c>
      <c r="C128" t="s">
        <v>247</v>
      </c>
      <c r="D128" t="s">
        <v>49</v>
      </c>
      <c r="E128">
        <v>1</v>
      </c>
      <c r="F128">
        <v>293.8</v>
      </c>
      <c r="G128" t="str">
        <f>VLOOKUP(Table1[[#This Row],[ProductID]],Products!A:D,2)</f>
        <v>Product_31</v>
      </c>
      <c r="H128" t="str">
        <f>VLOOKUP(Table1[[#This Row],[ProductID]],Products!A:D,3)</f>
        <v>Electronics</v>
      </c>
      <c r="I128">
        <f>VLOOKUP(Table1[[#This Row],[ProductID]],Products!$A:$D,4)</f>
        <v>293.8</v>
      </c>
      <c r="J128" t="str">
        <f>VLOOKUP(Table1[[#This Row],[CustomerID]],Customer_info!$A:$D,4)</f>
        <v>US</v>
      </c>
      <c r="K128">
        <f>Table1[[#This Row],[Quantity]]*Table1[[#This Row],[UnitPrice]]</f>
        <v>293.8</v>
      </c>
    </row>
    <row r="129" spans="1:11">
      <c r="A129" t="s">
        <v>248</v>
      </c>
      <c r="B129" s="1">
        <v>45323</v>
      </c>
      <c r="C129" t="s">
        <v>249</v>
      </c>
      <c r="D129" t="s">
        <v>26</v>
      </c>
      <c r="E129">
        <v>2</v>
      </c>
      <c r="F129">
        <v>299.54000000000002</v>
      </c>
      <c r="G129" t="str">
        <f>VLOOKUP(Table1[[#This Row],[ProductID]],Products!A:D,2)</f>
        <v>Product_27</v>
      </c>
      <c r="H129" t="str">
        <f>VLOOKUP(Table1[[#This Row],[ProductID]],Products!A:D,3)</f>
        <v>Beauty</v>
      </c>
      <c r="I129">
        <f>VLOOKUP(Table1[[#This Row],[ProductID]],Products!$A:$D,4)</f>
        <v>149.77000000000001</v>
      </c>
      <c r="J129" t="str">
        <f>VLOOKUP(Table1[[#This Row],[CustomerID]],Customer_info!$A:$D,4)</f>
        <v>Canada</v>
      </c>
      <c r="K129">
        <f>Table1[[#This Row],[Quantity]]*Table1[[#This Row],[UnitPrice]]</f>
        <v>299.54000000000002</v>
      </c>
    </row>
    <row r="130" spans="1:11">
      <c r="A130" t="s">
        <v>250</v>
      </c>
      <c r="B130" s="1">
        <v>45326</v>
      </c>
      <c r="C130" t="s">
        <v>185</v>
      </c>
      <c r="D130" t="s">
        <v>136</v>
      </c>
      <c r="E130">
        <v>4</v>
      </c>
      <c r="F130">
        <v>1724.88</v>
      </c>
      <c r="G130" t="str">
        <f>VLOOKUP(Table1[[#This Row],[ProductID]],Products!A:D,2)</f>
        <v>Product_1</v>
      </c>
      <c r="H130" t="str">
        <f>VLOOKUP(Table1[[#This Row],[ProductID]],Products!A:D,3)</f>
        <v>Electronics</v>
      </c>
      <c r="I130">
        <f>VLOOKUP(Table1[[#This Row],[ProductID]],Products!$A:$D,4)</f>
        <v>431.22</v>
      </c>
      <c r="J130" t="str">
        <f>VLOOKUP(Table1[[#This Row],[CustomerID]],Customer_info!$A:$D,4)</f>
        <v>India</v>
      </c>
      <c r="K130">
        <f>Table1[[#This Row],[Quantity]]*Table1[[#This Row],[UnitPrice]]</f>
        <v>1724.88</v>
      </c>
    </row>
    <row r="131" spans="1:11">
      <c r="A131" t="s">
        <v>251</v>
      </c>
      <c r="B131" s="1">
        <v>45462</v>
      </c>
      <c r="C131" t="s">
        <v>198</v>
      </c>
      <c r="D131" t="s">
        <v>108</v>
      </c>
      <c r="E131">
        <v>4</v>
      </c>
      <c r="F131">
        <v>197</v>
      </c>
      <c r="G131" t="str">
        <f>VLOOKUP(Table1[[#This Row],[ProductID]],Products!A:D,2)</f>
        <v>Product_36</v>
      </c>
      <c r="H131" t="str">
        <f>VLOOKUP(Table1[[#This Row],[ProductID]],Products!A:D,3)</f>
        <v>Sports</v>
      </c>
      <c r="I131">
        <f>VLOOKUP(Table1[[#This Row],[ProductID]],Products!$A:$D,4)</f>
        <v>49.25</v>
      </c>
      <c r="J131" t="str">
        <f>VLOOKUP(Table1[[#This Row],[CustomerID]],Customer_info!$A:$D,4)</f>
        <v>UK</v>
      </c>
      <c r="K131">
        <f>Table1[[#This Row],[Quantity]]*Table1[[#This Row],[UnitPrice]]</f>
        <v>197</v>
      </c>
    </row>
    <row r="132" spans="1:11">
      <c r="A132" t="s">
        <v>252</v>
      </c>
      <c r="B132" s="1">
        <v>45435</v>
      </c>
      <c r="C132" t="s">
        <v>176</v>
      </c>
      <c r="D132" t="s">
        <v>122</v>
      </c>
      <c r="E132">
        <v>5</v>
      </c>
      <c r="F132">
        <v>435.7</v>
      </c>
      <c r="G132" t="str">
        <f>VLOOKUP(Table1[[#This Row],[ProductID]],Products!A:D,2)</f>
        <v>Product_35</v>
      </c>
      <c r="H132" t="str">
        <f>VLOOKUP(Table1[[#This Row],[ProductID]],Products!A:D,3)</f>
        <v>Sports</v>
      </c>
      <c r="I132">
        <f>VLOOKUP(Table1[[#This Row],[ProductID]],Products!$A:$D,4)</f>
        <v>87.14</v>
      </c>
      <c r="J132" t="str">
        <f>VLOOKUP(Table1[[#This Row],[CustomerID]],Customer_info!$A:$D,4)</f>
        <v>UK</v>
      </c>
      <c r="K132">
        <f>Table1[[#This Row],[Quantity]]*Table1[[#This Row],[UnitPrice]]</f>
        <v>435.7</v>
      </c>
    </row>
    <row r="133" spans="1:11">
      <c r="A133" t="s">
        <v>253</v>
      </c>
      <c r="B133" s="1">
        <v>45373</v>
      </c>
      <c r="C133" t="s">
        <v>57</v>
      </c>
      <c r="D133" t="s">
        <v>72</v>
      </c>
      <c r="E133">
        <v>5</v>
      </c>
      <c r="F133">
        <v>1083.5999999999999</v>
      </c>
      <c r="G133" t="str">
        <f>VLOOKUP(Table1[[#This Row],[ProductID]],Products!A:D,2)</f>
        <v>Product_16</v>
      </c>
      <c r="H133" t="str">
        <f>VLOOKUP(Table1[[#This Row],[ProductID]],Products!A:D,3)</f>
        <v>Clothing</v>
      </c>
      <c r="I133">
        <f>VLOOKUP(Table1[[#This Row],[ProductID]],Products!$A:$D,4)</f>
        <v>216.72</v>
      </c>
      <c r="J133" t="str">
        <f>VLOOKUP(Table1[[#This Row],[CustomerID]],Customer_info!$A:$D,4)</f>
        <v>UK</v>
      </c>
      <c r="K133">
        <f>Table1[[#This Row],[Quantity]]*Table1[[#This Row],[UnitPrice]]</f>
        <v>1083.5999999999999</v>
      </c>
    </row>
    <row r="134" spans="1:11">
      <c r="A134" t="s">
        <v>254</v>
      </c>
      <c r="B134" s="1">
        <v>45448</v>
      </c>
      <c r="C134" t="s">
        <v>255</v>
      </c>
      <c r="D134" t="s">
        <v>178</v>
      </c>
      <c r="E134">
        <v>4</v>
      </c>
      <c r="F134">
        <v>870.2</v>
      </c>
      <c r="G134" t="str">
        <f>VLOOKUP(Table1[[#This Row],[ProductID]],Products!A:D,2)</f>
        <v>Product_9</v>
      </c>
      <c r="H134" t="str">
        <f>VLOOKUP(Table1[[#This Row],[ProductID]],Products!A:D,3)</f>
        <v>Home</v>
      </c>
      <c r="I134">
        <f>VLOOKUP(Table1[[#This Row],[ProductID]],Products!$A:$D,4)</f>
        <v>217.55</v>
      </c>
      <c r="J134" t="str">
        <f>VLOOKUP(Table1[[#This Row],[CustomerID]],Customer_info!$A:$D,4)</f>
        <v>India</v>
      </c>
      <c r="K134">
        <f>Table1[[#This Row],[Quantity]]*Table1[[#This Row],[UnitPrice]]</f>
        <v>870.2</v>
      </c>
    </row>
    <row r="135" spans="1:11">
      <c r="A135" t="s">
        <v>256</v>
      </c>
      <c r="B135" s="1">
        <v>45401</v>
      </c>
      <c r="C135" t="s">
        <v>76</v>
      </c>
      <c r="D135" t="s">
        <v>122</v>
      </c>
      <c r="E135">
        <v>5</v>
      </c>
      <c r="F135">
        <v>435.7</v>
      </c>
      <c r="G135" t="str">
        <f>VLOOKUP(Table1[[#This Row],[ProductID]],Products!A:D,2)</f>
        <v>Product_35</v>
      </c>
      <c r="H135" t="str">
        <f>VLOOKUP(Table1[[#This Row],[ProductID]],Products!A:D,3)</f>
        <v>Sports</v>
      </c>
      <c r="I135">
        <f>VLOOKUP(Table1[[#This Row],[ProductID]],Products!$A:$D,4)</f>
        <v>87.14</v>
      </c>
      <c r="J135" t="str">
        <f>VLOOKUP(Table1[[#This Row],[CustomerID]],Customer_info!$A:$D,4)</f>
        <v>UK</v>
      </c>
      <c r="K135">
        <f>Table1[[#This Row],[Quantity]]*Table1[[#This Row],[UnitPrice]]</f>
        <v>435.7</v>
      </c>
    </row>
    <row r="136" spans="1:11">
      <c r="A136" t="s">
        <v>257</v>
      </c>
      <c r="B136" s="1">
        <v>45406</v>
      </c>
      <c r="C136" t="s">
        <v>258</v>
      </c>
      <c r="D136" t="s">
        <v>129</v>
      </c>
      <c r="E136">
        <v>5</v>
      </c>
      <c r="F136">
        <v>583.35</v>
      </c>
      <c r="G136" t="str">
        <f>VLOOKUP(Table1[[#This Row],[ProductID]],Products!A:D,2)</f>
        <v>Product_30</v>
      </c>
      <c r="H136" t="str">
        <f>VLOOKUP(Table1[[#This Row],[ProductID]],Products!A:D,3)</f>
        <v>Home</v>
      </c>
      <c r="I136">
        <f>VLOOKUP(Table1[[#This Row],[ProductID]],Products!$A:$D,4)</f>
        <v>116.67</v>
      </c>
      <c r="J136" t="str">
        <f>VLOOKUP(Table1[[#This Row],[CustomerID]],Customer_info!$A:$D,4)</f>
        <v>Canada</v>
      </c>
      <c r="K136">
        <f>Table1[[#This Row],[Quantity]]*Table1[[#This Row],[UnitPrice]]</f>
        <v>583.35</v>
      </c>
    </row>
    <row r="137" spans="1:11">
      <c r="A137" t="s">
        <v>259</v>
      </c>
      <c r="B137" s="1">
        <v>45413</v>
      </c>
      <c r="C137" t="s">
        <v>113</v>
      </c>
      <c r="D137" t="s">
        <v>260</v>
      </c>
      <c r="E137">
        <v>2</v>
      </c>
      <c r="F137">
        <v>391.4</v>
      </c>
      <c r="G137" t="str">
        <f>VLOOKUP(Table1[[#This Row],[ProductID]],Products!A:D,2)</f>
        <v>Product_25</v>
      </c>
      <c r="H137" t="str">
        <f>VLOOKUP(Table1[[#This Row],[ProductID]],Products!A:D,3)</f>
        <v>Clothing</v>
      </c>
      <c r="I137">
        <f>VLOOKUP(Table1[[#This Row],[ProductID]],Products!$A:$D,4)</f>
        <v>195.7</v>
      </c>
      <c r="J137" t="str">
        <f>VLOOKUP(Table1[[#This Row],[CustomerID]],Customer_info!$A:$D,4)</f>
        <v>India</v>
      </c>
      <c r="K137">
        <f>Table1[[#This Row],[Quantity]]*Table1[[#This Row],[UnitPrice]]</f>
        <v>391.4</v>
      </c>
    </row>
    <row r="138" spans="1:11">
      <c r="A138" t="s">
        <v>261</v>
      </c>
      <c r="B138" s="1">
        <v>45358</v>
      </c>
      <c r="C138" t="s">
        <v>182</v>
      </c>
      <c r="D138" t="s">
        <v>114</v>
      </c>
      <c r="E138">
        <v>4</v>
      </c>
      <c r="F138">
        <v>908.52</v>
      </c>
      <c r="G138" t="str">
        <f>VLOOKUP(Table1[[#This Row],[ProductID]],Products!A:D,2)</f>
        <v>Product_18</v>
      </c>
      <c r="H138" t="str">
        <f>VLOOKUP(Table1[[#This Row],[ProductID]],Products!A:D,3)</f>
        <v>Electronics</v>
      </c>
      <c r="I138">
        <f>VLOOKUP(Table1[[#This Row],[ProductID]],Products!$A:$D,4)</f>
        <v>227.13</v>
      </c>
      <c r="J138" t="str">
        <f>VLOOKUP(Table1[[#This Row],[CustomerID]],Customer_info!$A:$D,4)</f>
        <v>Canada</v>
      </c>
      <c r="K138">
        <f>Table1[[#This Row],[Quantity]]*Table1[[#This Row],[UnitPrice]]</f>
        <v>908.52</v>
      </c>
    </row>
    <row r="139" spans="1:11">
      <c r="A139" t="s">
        <v>262</v>
      </c>
      <c r="B139" s="1">
        <v>45455</v>
      </c>
      <c r="C139" t="s">
        <v>101</v>
      </c>
      <c r="D139" t="s">
        <v>178</v>
      </c>
      <c r="E139">
        <v>2</v>
      </c>
      <c r="F139">
        <v>435.1</v>
      </c>
      <c r="G139" t="str">
        <f>VLOOKUP(Table1[[#This Row],[ProductID]],Products!A:D,2)</f>
        <v>Product_9</v>
      </c>
      <c r="H139" t="str">
        <f>VLOOKUP(Table1[[#This Row],[ProductID]],Products!A:D,3)</f>
        <v>Home</v>
      </c>
      <c r="I139">
        <f>VLOOKUP(Table1[[#This Row],[ProductID]],Products!$A:$D,4)</f>
        <v>217.55</v>
      </c>
      <c r="J139" t="str">
        <f>VLOOKUP(Table1[[#This Row],[CustomerID]],Customer_info!$A:$D,4)</f>
        <v>US</v>
      </c>
      <c r="K139">
        <f>Table1[[#This Row],[Quantity]]*Table1[[#This Row],[UnitPrice]]</f>
        <v>435.1</v>
      </c>
    </row>
    <row r="140" spans="1:11">
      <c r="A140" t="s">
        <v>263</v>
      </c>
      <c r="B140" s="1">
        <v>45425</v>
      </c>
      <c r="C140" t="s">
        <v>264</v>
      </c>
      <c r="D140" t="s">
        <v>68</v>
      </c>
      <c r="E140">
        <v>3</v>
      </c>
      <c r="F140">
        <v>1206.8699999999999</v>
      </c>
      <c r="G140" t="str">
        <f>VLOOKUP(Table1[[#This Row],[ProductID]],Products!A:D,2)</f>
        <v>Product_13</v>
      </c>
      <c r="H140" t="str">
        <f>VLOOKUP(Table1[[#This Row],[ProductID]],Products!A:D,3)</f>
        <v>Home</v>
      </c>
      <c r="I140">
        <f>VLOOKUP(Table1[[#This Row],[ProductID]],Products!$A:$D,4)</f>
        <v>402.29</v>
      </c>
      <c r="J140" t="str">
        <f>VLOOKUP(Table1[[#This Row],[CustomerID]],Customer_info!$A:$D,4)</f>
        <v>Canada</v>
      </c>
      <c r="K140">
        <f>Table1[[#This Row],[Quantity]]*Table1[[#This Row],[UnitPrice]]</f>
        <v>1206.8700000000001</v>
      </c>
    </row>
    <row r="141" spans="1:11">
      <c r="A141" t="s">
        <v>265</v>
      </c>
      <c r="B141" s="1">
        <v>45452</v>
      </c>
      <c r="C141" t="s">
        <v>150</v>
      </c>
      <c r="D141" t="s">
        <v>231</v>
      </c>
      <c r="E141">
        <v>4</v>
      </c>
      <c r="F141">
        <v>974.52</v>
      </c>
      <c r="G141" t="str">
        <f>VLOOKUP(Table1[[#This Row],[ProductID]],Products!A:D,2)</f>
        <v>Product_34</v>
      </c>
      <c r="H141" t="str">
        <f>VLOOKUP(Table1[[#This Row],[ProductID]],Products!A:D,3)</f>
        <v>Sports</v>
      </c>
      <c r="I141">
        <f>VLOOKUP(Table1[[#This Row],[ProductID]],Products!$A:$D,4)</f>
        <v>243.63</v>
      </c>
      <c r="J141" t="str">
        <f>VLOOKUP(Table1[[#This Row],[CustomerID]],Customer_info!$A:$D,4)</f>
        <v>UK</v>
      </c>
      <c r="K141">
        <f>Table1[[#This Row],[Quantity]]*Table1[[#This Row],[UnitPrice]]</f>
        <v>974.52</v>
      </c>
    </row>
    <row r="142" spans="1:11">
      <c r="A142" t="s">
        <v>266</v>
      </c>
      <c r="B142" s="1">
        <v>45362</v>
      </c>
      <c r="C142" t="s">
        <v>93</v>
      </c>
      <c r="D142" t="s">
        <v>49</v>
      </c>
      <c r="E142">
        <v>2</v>
      </c>
      <c r="F142">
        <v>587.6</v>
      </c>
      <c r="G142" t="str">
        <f>VLOOKUP(Table1[[#This Row],[ProductID]],Products!A:D,2)</f>
        <v>Product_31</v>
      </c>
      <c r="H142" t="str">
        <f>VLOOKUP(Table1[[#This Row],[ProductID]],Products!A:D,3)</f>
        <v>Electronics</v>
      </c>
      <c r="I142">
        <f>VLOOKUP(Table1[[#This Row],[ProductID]],Products!$A:$D,4)</f>
        <v>293.8</v>
      </c>
      <c r="J142" t="str">
        <f>VLOOKUP(Table1[[#This Row],[CustomerID]],Customer_info!$A:$D,4)</f>
        <v>US</v>
      </c>
      <c r="K142">
        <f>Table1[[#This Row],[Quantity]]*Table1[[#This Row],[UnitPrice]]</f>
        <v>587.6</v>
      </c>
    </row>
    <row r="143" spans="1:11">
      <c r="A143" t="s">
        <v>267</v>
      </c>
      <c r="B143" s="1">
        <v>45311</v>
      </c>
      <c r="C143" t="s">
        <v>222</v>
      </c>
      <c r="D143" t="s">
        <v>28</v>
      </c>
      <c r="E143">
        <v>4</v>
      </c>
      <c r="F143">
        <v>1808.8</v>
      </c>
      <c r="G143" t="str">
        <f>VLOOKUP(Table1[[#This Row],[ProductID]],Products!A:D,2)</f>
        <v>Product_24</v>
      </c>
      <c r="H143" t="str">
        <f>VLOOKUP(Table1[[#This Row],[ProductID]],Products!A:D,3)</f>
        <v>Beauty</v>
      </c>
      <c r="I143">
        <f>VLOOKUP(Table1[[#This Row],[ProductID]],Products!$A:$D,4)</f>
        <v>452.2</v>
      </c>
      <c r="J143" t="str">
        <f>VLOOKUP(Table1[[#This Row],[CustomerID]],Customer_info!$A:$D,4)</f>
        <v>India</v>
      </c>
      <c r="K143">
        <f>Table1[[#This Row],[Quantity]]*Table1[[#This Row],[UnitPrice]]</f>
        <v>1808.8</v>
      </c>
    </row>
    <row r="144" spans="1:11">
      <c r="A144" t="s">
        <v>268</v>
      </c>
      <c r="B144" s="1">
        <v>45352</v>
      </c>
      <c r="C144" t="s">
        <v>269</v>
      </c>
      <c r="D144" t="s">
        <v>14</v>
      </c>
      <c r="E144">
        <v>3</v>
      </c>
      <c r="F144">
        <v>710.07</v>
      </c>
      <c r="G144" t="str">
        <f>VLOOKUP(Table1[[#This Row],[ProductID]],Products!A:D,2)</f>
        <v>Product_17</v>
      </c>
      <c r="H144" t="str">
        <f>VLOOKUP(Table1[[#This Row],[ProductID]],Products!A:D,3)</f>
        <v>Home</v>
      </c>
      <c r="I144">
        <f>VLOOKUP(Table1[[#This Row],[ProductID]],Products!$A:$D,4)</f>
        <v>236.69</v>
      </c>
      <c r="J144" t="str">
        <f>VLOOKUP(Table1[[#This Row],[CustomerID]],Customer_info!$A:$D,4)</f>
        <v>UK</v>
      </c>
      <c r="K144">
        <f>Table1[[#This Row],[Quantity]]*Table1[[#This Row],[UnitPrice]]</f>
        <v>710.06999999999994</v>
      </c>
    </row>
    <row r="145" spans="1:11">
      <c r="A145" t="s">
        <v>270</v>
      </c>
      <c r="B145" s="1">
        <v>45377</v>
      </c>
      <c r="C145" t="s">
        <v>139</v>
      </c>
      <c r="D145" t="s">
        <v>146</v>
      </c>
      <c r="E145">
        <v>3</v>
      </c>
      <c r="F145">
        <v>998.7</v>
      </c>
      <c r="G145" t="str">
        <f>VLOOKUP(Table1[[#This Row],[ProductID]],Products!A:D,2)</f>
        <v>Product_8</v>
      </c>
      <c r="H145" t="str">
        <f>VLOOKUP(Table1[[#This Row],[ProductID]],Products!A:D,3)</f>
        <v>Electronics</v>
      </c>
      <c r="I145">
        <f>VLOOKUP(Table1[[#This Row],[ProductID]],Products!$A:$D,4)</f>
        <v>332.9</v>
      </c>
      <c r="J145" t="str">
        <f>VLOOKUP(Table1[[#This Row],[CustomerID]],Customer_info!$A:$D,4)</f>
        <v>US</v>
      </c>
      <c r="K145">
        <f>Table1[[#This Row],[Quantity]]*Table1[[#This Row],[UnitPrice]]</f>
        <v>998.69999999999993</v>
      </c>
    </row>
    <row r="146" spans="1:11">
      <c r="A146" t="s">
        <v>271</v>
      </c>
      <c r="B146" s="1">
        <v>45430</v>
      </c>
      <c r="C146" t="s">
        <v>243</v>
      </c>
      <c r="D146" t="s">
        <v>146</v>
      </c>
      <c r="E146">
        <v>3</v>
      </c>
      <c r="F146">
        <v>998.7</v>
      </c>
      <c r="G146" t="str">
        <f>VLOOKUP(Table1[[#This Row],[ProductID]],Products!A:D,2)</f>
        <v>Product_8</v>
      </c>
      <c r="H146" t="str">
        <f>VLOOKUP(Table1[[#This Row],[ProductID]],Products!A:D,3)</f>
        <v>Electronics</v>
      </c>
      <c r="I146">
        <f>VLOOKUP(Table1[[#This Row],[ProductID]],Products!$A:$D,4)</f>
        <v>332.9</v>
      </c>
      <c r="J146" t="str">
        <f>VLOOKUP(Table1[[#This Row],[CustomerID]],Customer_info!$A:$D,4)</f>
        <v>India</v>
      </c>
      <c r="K146">
        <f>Table1[[#This Row],[Quantity]]*Table1[[#This Row],[UnitPrice]]</f>
        <v>998.69999999999993</v>
      </c>
    </row>
    <row r="147" spans="1:11">
      <c r="A147" t="s">
        <v>272</v>
      </c>
      <c r="B147" s="1">
        <v>45327</v>
      </c>
      <c r="C147" t="s">
        <v>264</v>
      </c>
      <c r="D147" t="s">
        <v>196</v>
      </c>
      <c r="E147">
        <v>1</v>
      </c>
      <c r="F147">
        <v>245.87</v>
      </c>
      <c r="G147" t="str">
        <f>VLOOKUP(Table1[[#This Row],[ProductID]],Products!A:D,2)</f>
        <v>Product_23</v>
      </c>
      <c r="H147" t="str">
        <f>VLOOKUP(Table1[[#This Row],[ProductID]],Products!A:D,3)</f>
        <v>Beauty</v>
      </c>
      <c r="I147">
        <f>VLOOKUP(Table1[[#This Row],[ProductID]],Products!$A:$D,4)</f>
        <v>245.87</v>
      </c>
      <c r="J147" t="str">
        <f>VLOOKUP(Table1[[#This Row],[CustomerID]],Customer_info!$A:$D,4)</f>
        <v>Canada</v>
      </c>
      <c r="K147">
        <f>Table1[[#This Row],[Quantity]]*Table1[[#This Row],[UnitPrice]]</f>
        <v>245.87</v>
      </c>
    </row>
    <row r="148" spans="1:11">
      <c r="A148" t="s">
        <v>273</v>
      </c>
      <c r="B148" s="1">
        <v>45351</v>
      </c>
      <c r="C148" t="s">
        <v>143</v>
      </c>
      <c r="D148" t="s">
        <v>231</v>
      </c>
      <c r="E148">
        <v>2</v>
      </c>
      <c r="F148">
        <v>487.26</v>
      </c>
      <c r="G148" t="str">
        <f>VLOOKUP(Table1[[#This Row],[ProductID]],Products!A:D,2)</f>
        <v>Product_34</v>
      </c>
      <c r="H148" t="str">
        <f>VLOOKUP(Table1[[#This Row],[ProductID]],Products!A:D,3)</f>
        <v>Sports</v>
      </c>
      <c r="I148">
        <f>VLOOKUP(Table1[[#This Row],[ProductID]],Products!$A:$D,4)</f>
        <v>243.63</v>
      </c>
      <c r="J148" t="str">
        <f>VLOOKUP(Table1[[#This Row],[CustomerID]],Customer_info!$A:$D,4)</f>
        <v>Canada</v>
      </c>
      <c r="K148">
        <f>Table1[[#This Row],[Quantity]]*Table1[[#This Row],[UnitPrice]]</f>
        <v>487.26</v>
      </c>
    </row>
    <row r="149" spans="1:11">
      <c r="A149" t="s">
        <v>274</v>
      </c>
      <c r="B149" s="1">
        <v>45469</v>
      </c>
      <c r="C149" t="s">
        <v>222</v>
      </c>
      <c r="D149" t="s">
        <v>132</v>
      </c>
      <c r="E149">
        <v>4</v>
      </c>
      <c r="F149">
        <v>1351.2</v>
      </c>
      <c r="G149" t="str">
        <f>VLOOKUP(Table1[[#This Row],[ProductID]],Products!A:D,2)</f>
        <v>Product_3</v>
      </c>
      <c r="H149" t="str">
        <f>VLOOKUP(Table1[[#This Row],[ProductID]],Products!A:D,3)</f>
        <v>Home</v>
      </c>
      <c r="I149">
        <f>VLOOKUP(Table1[[#This Row],[ProductID]],Products!$A:$D,4)</f>
        <v>337.8</v>
      </c>
      <c r="J149" t="str">
        <f>VLOOKUP(Table1[[#This Row],[CustomerID]],Customer_info!$A:$D,4)</f>
        <v>India</v>
      </c>
      <c r="K149">
        <f>Table1[[#This Row],[Quantity]]*Table1[[#This Row],[UnitPrice]]</f>
        <v>1351.2</v>
      </c>
    </row>
    <row r="150" spans="1:11">
      <c r="A150" t="s">
        <v>275</v>
      </c>
      <c r="B150" s="1">
        <v>45472</v>
      </c>
      <c r="C150" t="s">
        <v>74</v>
      </c>
      <c r="D150" t="s">
        <v>132</v>
      </c>
      <c r="E150">
        <v>2</v>
      </c>
      <c r="F150">
        <v>675.6</v>
      </c>
      <c r="G150" t="str">
        <f>VLOOKUP(Table1[[#This Row],[ProductID]],Products!A:D,2)</f>
        <v>Product_3</v>
      </c>
      <c r="H150" t="str">
        <f>VLOOKUP(Table1[[#This Row],[ProductID]],Products!A:D,3)</f>
        <v>Home</v>
      </c>
      <c r="I150">
        <f>VLOOKUP(Table1[[#This Row],[ProductID]],Products!$A:$D,4)</f>
        <v>337.8</v>
      </c>
      <c r="J150" t="str">
        <f>VLOOKUP(Table1[[#This Row],[CustomerID]],Customer_info!$A:$D,4)</f>
        <v>India</v>
      </c>
      <c r="K150">
        <f>Table1[[#This Row],[Quantity]]*Table1[[#This Row],[UnitPrice]]</f>
        <v>675.6</v>
      </c>
    </row>
    <row r="151" spans="1:11">
      <c r="A151" t="s">
        <v>276</v>
      </c>
      <c r="B151" s="1">
        <v>45308</v>
      </c>
      <c r="C151" t="s">
        <v>116</v>
      </c>
      <c r="D151" t="s">
        <v>17</v>
      </c>
      <c r="E151">
        <v>2</v>
      </c>
      <c r="F151">
        <v>788.92</v>
      </c>
      <c r="G151" t="str">
        <f>VLOOKUP(Table1[[#This Row],[ProductID]],Products!A:D,2)</f>
        <v>Product_6</v>
      </c>
      <c r="H151" t="str">
        <f>VLOOKUP(Table1[[#This Row],[ProductID]],Products!A:D,3)</f>
        <v>Clothing</v>
      </c>
      <c r="I151">
        <f>VLOOKUP(Table1[[#This Row],[ProductID]],Products!$A:$D,4)</f>
        <v>394.46</v>
      </c>
      <c r="J151" t="str">
        <f>VLOOKUP(Table1[[#This Row],[CustomerID]],Customer_info!$A:$D,4)</f>
        <v>UK</v>
      </c>
      <c r="K151">
        <f>Table1[[#This Row],[Quantity]]*Table1[[#This Row],[UnitPrice]]</f>
        <v>788.92</v>
      </c>
    </row>
    <row r="152" spans="1:11">
      <c r="A152" t="s">
        <v>277</v>
      </c>
      <c r="B152" s="1">
        <v>45396</v>
      </c>
      <c r="C152" t="s">
        <v>278</v>
      </c>
      <c r="D152" t="s">
        <v>81</v>
      </c>
      <c r="E152">
        <v>4</v>
      </c>
      <c r="F152">
        <v>1733.12</v>
      </c>
      <c r="G152" t="str">
        <f>VLOOKUP(Table1[[#This Row],[ProductID]],Products!A:D,2)</f>
        <v>Product_10</v>
      </c>
      <c r="H152" t="str">
        <f>VLOOKUP(Table1[[#This Row],[ProductID]],Products!A:D,3)</f>
        <v>Beauty</v>
      </c>
      <c r="I152">
        <f>VLOOKUP(Table1[[#This Row],[ProductID]],Products!$A:$D,4)</f>
        <v>433.28</v>
      </c>
      <c r="J152" t="str">
        <f>VLOOKUP(Table1[[#This Row],[CustomerID]],Customer_info!$A:$D,4)</f>
        <v>Canada</v>
      </c>
      <c r="K152">
        <f>Table1[[#This Row],[Quantity]]*Table1[[#This Row],[UnitPrice]]</f>
        <v>1733.12</v>
      </c>
    </row>
    <row r="153" spans="1:11">
      <c r="A153" t="s">
        <v>279</v>
      </c>
      <c r="B153" s="1">
        <v>45430</v>
      </c>
      <c r="C153" t="s">
        <v>280</v>
      </c>
      <c r="D153" t="s">
        <v>103</v>
      </c>
      <c r="E153">
        <v>3</v>
      </c>
      <c r="F153">
        <v>419.85</v>
      </c>
      <c r="G153" t="str">
        <f>VLOOKUP(Table1[[#This Row],[ProductID]],Products!A:D,2)</f>
        <v>Product_26</v>
      </c>
      <c r="H153" t="str">
        <f>VLOOKUP(Table1[[#This Row],[ProductID]],Products!A:D,3)</f>
        <v>Beauty</v>
      </c>
      <c r="I153">
        <f>VLOOKUP(Table1[[#This Row],[ProductID]],Products!$A:$D,4)</f>
        <v>139.94999999999999</v>
      </c>
      <c r="J153" t="str">
        <f>VLOOKUP(Table1[[#This Row],[CustomerID]],Customer_info!$A:$D,4)</f>
        <v>UK</v>
      </c>
      <c r="K153">
        <f>Table1[[#This Row],[Quantity]]*Table1[[#This Row],[UnitPrice]]</f>
        <v>419.84999999999997</v>
      </c>
    </row>
    <row r="154" spans="1:11">
      <c r="A154" t="s">
        <v>281</v>
      </c>
      <c r="B154" s="1">
        <v>45398</v>
      </c>
      <c r="C154" t="s">
        <v>30</v>
      </c>
      <c r="D154" t="s">
        <v>108</v>
      </c>
      <c r="E154">
        <v>4</v>
      </c>
      <c r="F154">
        <v>197</v>
      </c>
      <c r="G154" t="str">
        <f>VLOOKUP(Table1[[#This Row],[ProductID]],Products!A:D,2)</f>
        <v>Product_36</v>
      </c>
      <c r="H154" t="str">
        <f>VLOOKUP(Table1[[#This Row],[ProductID]],Products!A:D,3)</f>
        <v>Sports</v>
      </c>
      <c r="I154">
        <f>VLOOKUP(Table1[[#This Row],[ProductID]],Products!$A:$D,4)</f>
        <v>49.25</v>
      </c>
      <c r="J154" t="str">
        <f>VLOOKUP(Table1[[#This Row],[CustomerID]],Customer_info!$A:$D,4)</f>
        <v>UK</v>
      </c>
      <c r="K154">
        <f>Table1[[#This Row],[Quantity]]*Table1[[#This Row],[UnitPrice]]</f>
        <v>197</v>
      </c>
    </row>
    <row r="155" spans="1:11">
      <c r="A155" t="s">
        <v>282</v>
      </c>
      <c r="B155" s="1">
        <v>45344</v>
      </c>
      <c r="C155" t="s">
        <v>283</v>
      </c>
      <c r="D155" t="s">
        <v>55</v>
      </c>
      <c r="E155">
        <v>1</v>
      </c>
      <c r="F155">
        <v>130.65</v>
      </c>
      <c r="G155" t="str">
        <f>VLOOKUP(Table1[[#This Row],[ProductID]],Products!A:D,2)</f>
        <v>Product_40</v>
      </c>
      <c r="H155" t="str">
        <f>VLOOKUP(Table1[[#This Row],[ProductID]],Products!A:D,3)</f>
        <v>Sports</v>
      </c>
      <c r="I155">
        <f>VLOOKUP(Table1[[#This Row],[ProductID]],Products!$A:$D,4)</f>
        <v>130.65</v>
      </c>
      <c r="J155" t="str">
        <f>VLOOKUP(Table1[[#This Row],[CustomerID]],Customer_info!$A:$D,4)</f>
        <v>US</v>
      </c>
      <c r="K155">
        <f>Table1[[#This Row],[Quantity]]*Table1[[#This Row],[UnitPrice]]</f>
        <v>130.65</v>
      </c>
    </row>
    <row r="156" spans="1:11">
      <c r="A156" t="s">
        <v>284</v>
      </c>
      <c r="B156" s="1">
        <v>45391</v>
      </c>
      <c r="C156" t="s">
        <v>97</v>
      </c>
      <c r="D156" t="s">
        <v>26</v>
      </c>
      <c r="E156">
        <v>4</v>
      </c>
      <c r="F156">
        <v>599.08000000000004</v>
      </c>
      <c r="G156" t="str">
        <f>VLOOKUP(Table1[[#This Row],[ProductID]],Products!A:D,2)</f>
        <v>Product_27</v>
      </c>
      <c r="H156" t="str">
        <f>VLOOKUP(Table1[[#This Row],[ProductID]],Products!A:D,3)</f>
        <v>Beauty</v>
      </c>
      <c r="I156">
        <f>VLOOKUP(Table1[[#This Row],[ProductID]],Products!$A:$D,4)</f>
        <v>149.77000000000001</v>
      </c>
      <c r="J156" t="str">
        <f>VLOOKUP(Table1[[#This Row],[CustomerID]],Customer_info!$A:$D,4)</f>
        <v>US</v>
      </c>
      <c r="K156">
        <f>Table1[[#This Row],[Quantity]]*Table1[[#This Row],[UnitPrice]]</f>
        <v>599.08000000000004</v>
      </c>
    </row>
    <row r="157" spans="1:11">
      <c r="A157" t="s">
        <v>285</v>
      </c>
      <c r="B157" s="1">
        <v>45470</v>
      </c>
      <c r="C157" t="s">
        <v>202</v>
      </c>
      <c r="D157" t="s">
        <v>165</v>
      </c>
      <c r="E157">
        <v>5</v>
      </c>
      <c r="F157">
        <v>1309.7</v>
      </c>
      <c r="G157" t="str">
        <f>VLOOKUP(Table1[[#This Row],[ProductID]],Products!A:D,2)</f>
        <v>Product_2</v>
      </c>
      <c r="H157" t="str">
        <f>VLOOKUP(Table1[[#This Row],[ProductID]],Products!A:D,3)</f>
        <v>Electronics</v>
      </c>
      <c r="I157">
        <f>VLOOKUP(Table1[[#This Row],[ProductID]],Products!$A:$D,4)</f>
        <v>261.94</v>
      </c>
      <c r="J157" t="str">
        <f>VLOOKUP(Table1[[#This Row],[CustomerID]],Customer_info!$A:$D,4)</f>
        <v>India</v>
      </c>
      <c r="K157">
        <f>Table1[[#This Row],[Quantity]]*Table1[[#This Row],[UnitPrice]]</f>
        <v>1309.7</v>
      </c>
    </row>
    <row r="158" spans="1:11">
      <c r="A158" t="s">
        <v>286</v>
      </c>
      <c r="B158" s="1">
        <v>45439</v>
      </c>
      <c r="C158" t="s">
        <v>30</v>
      </c>
      <c r="D158" t="s">
        <v>63</v>
      </c>
      <c r="E158">
        <v>1</v>
      </c>
      <c r="F158">
        <v>57.98</v>
      </c>
      <c r="G158" t="str">
        <f>VLOOKUP(Table1[[#This Row],[ProductID]],Products!A:D,2)</f>
        <v>Product_19</v>
      </c>
      <c r="H158" t="str">
        <f>VLOOKUP(Table1[[#This Row],[ProductID]],Products!A:D,3)</f>
        <v>Sports</v>
      </c>
      <c r="I158">
        <f>VLOOKUP(Table1[[#This Row],[ProductID]],Products!$A:$D,4)</f>
        <v>57.98</v>
      </c>
      <c r="J158" t="str">
        <f>VLOOKUP(Table1[[#This Row],[CustomerID]],Customer_info!$A:$D,4)</f>
        <v>UK</v>
      </c>
      <c r="K158">
        <f>Table1[[#This Row],[Quantity]]*Table1[[#This Row],[UnitPrice]]</f>
        <v>57.98</v>
      </c>
    </row>
    <row r="159" spans="1:11">
      <c r="A159" t="s">
        <v>287</v>
      </c>
      <c r="B159" s="1">
        <v>45414</v>
      </c>
      <c r="C159" t="s">
        <v>131</v>
      </c>
      <c r="D159" t="s">
        <v>41</v>
      </c>
      <c r="E159">
        <v>4</v>
      </c>
      <c r="F159">
        <v>152.04</v>
      </c>
      <c r="G159" t="str">
        <f>VLOOKUP(Table1[[#This Row],[ProductID]],Products!A:D,2)</f>
        <v>Product_33</v>
      </c>
      <c r="H159" t="str">
        <f>VLOOKUP(Table1[[#This Row],[ProductID]],Products!A:D,3)</f>
        <v>Home</v>
      </c>
      <c r="I159">
        <f>VLOOKUP(Table1[[#This Row],[ProductID]],Products!$A:$D,4)</f>
        <v>38.01</v>
      </c>
      <c r="J159" t="str">
        <f>VLOOKUP(Table1[[#This Row],[CustomerID]],Customer_info!$A:$D,4)</f>
        <v>Canada</v>
      </c>
      <c r="K159">
        <f>Table1[[#This Row],[Quantity]]*Table1[[#This Row],[UnitPrice]]</f>
        <v>152.04</v>
      </c>
    </row>
    <row r="160" spans="1:11">
      <c r="A160" t="s">
        <v>288</v>
      </c>
      <c r="B160" s="1">
        <v>45382</v>
      </c>
      <c r="C160" t="s">
        <v>289</v>
      </c>
      <c r="D160" t="s">
        <v>165</v>
      </c>
      <c r="E160">
        <v>1</v>
      </c>
      <c r="F160">
        <v>261.94</v>
      </c>
      <c r="G160" t="str">
        <f>VLOOKUP(Table1[[#This Row],[ProductID]],Products!A:D,2)</f>
        <v>Product_2</v>
      </c>
      <c r="H160" t="str">
        <f>VLOOKUP(Table1[[#This Row],[ProductID]],Products!A:D,3)</f>
        <v>Electronics</v>
      </c>
      <c r="I160">
        <f>VLOOKUP(Table1[[#This Row],[ProductID]],Products!$A:$D,4)</f>
        <v>261.94</v>
      </c>
      <c r="J160" t="str">
        <f>VLOOKUP(Table1[[#This Row],[CustomerID]],Customer_info!$A:$D,4)</f>
        <v>Canada</v>
      </c>
      <c r="K160">
        <f>Table1[[#This Row],[Quantity]]*Table1[[#This Row],[UnitPrice]]</f>
        <v>261.94</v>
      </c>
    </row>
    <row r="161" spans="1:11">
      <c r="A161" t="s">
        <v>290</v>
      </c>
      <c r="B161" s="1">
        <v>45391</v>
      </c>
      <c r="C161" t="s">
        <v>238</v>
      </c>
      <c r="D161" t="s">
        <v>63</v>
      </c>
      <c r="E161">
        <v>3</v>
      </c>
      <c r="F161">
        <v>173.94</v>
      </c>
      <c r="G161" t="str">
        <f>VLOOKUP(Table1[[#This Row],[ProductID]],Products!A:D,2)</f>
        <v>Product_19</v>
      </c>
      <c r="H161" t="str">
        <f>VLOOKUP(Table1[[#This Row],[ProductID]],Products!A:D,3)</f>
        <v>Sports</v>
      </c>
      <c r="I161">
        <f>VLOOKUP(Table1[[#This Row],[ProductID]],Products!$A:$D,4)</f>
        <v>57.98</v>
      </c>
      <c r="J161" t="str">
        <f>VLOOKUP(Table1[[#This Row],[CustomerID]],Customer_info!$A:$D,4)</f>
        <v>UK</v>
      </c>
      <c r="K161">
        <f>Table1[[#This Row],[Quantity]]*Table1[[#This Row],[UnitPrice]]</f>
        <v>173.94</v>
      </c>
    </row>
    <row r="162" spans="1:11">
      <c r="A162" t="s">
        <v>291</v>
      </c>
      <c r="B162" s="1">
        <v>45429</v>
      </c>
      <c r="C162" t="s">
        <v>202</v>
      </c>
      <c r="D162" t="s">
        <v>122</v>
      </c>
      <c r="E162">
        <v>4</v>
      </c>
      <c r="F162">
        <v>348.56</v>
      </c>
      <c r="G162" t="str">
        <f>VLOOKUP(Table1[[#This Row],[ProductID]],Products!A:D,2)</f>
        <v>Product_35</v>
      </c>
      <c r="H162" t="str">
        <f>VLOOKUP(Table1[[#This Row],[ProductID]],Products!A:D,3)</f>
        <v>Sports</v>
      </c>
      <c r="I162">
        <f>VLOOKUP(Table1[[#This Row],[ProductID]],Products!$A:$D,4)</f>
        <v>87.14</v>
      </c>
      <c r="J162" t="str">
        <f>VLOOKUP(Table1[[#This Row],[CustomerID]],Customer_info!$A:$D,4)</f>
        <v>India</v>
      </c>
      <c r="K162">
        <f>Table1[[#This Row],[Quantity]]*Table1[[#This Row],[UnitPrice]]</f>
        <v>348.56</v>
      </c>
    </row>
    <row r="163" spans="1:11">
      <c r="A163" t="s">
        <v>292</v>
      </c>
      <c r="B163" s="1">
        <v>45446</v>
      </c>
      <c r="C163" t="s">
        <v>19</v>
      </c>
      <c r="D163" t="s">
        <v>68</v>
      </c>
      <c r="E163">
        <v>5</v>
      </c>
      <c r="F163">
        <v>2011.45</v>
      </c>
      <c r="G163" t="str">
        <f>VLOOKUP(Table1[[#This Row],[ProductID]],Products!A:D,2)</f>
        <v>Product_13</v>
      </c>
      <c r="H163" t="str">
        <f>VLOOKUP(Table1[[#This Row],[ProductID]],Products!A:D,3)</f>
        <v>Home</v>
      </c>
      <c r="I163">
        <f>VLOOKUP(Table1[[#This Row],[ProductID]],Products!$A:$D,4)</f>
        <v>402.29</v>
      </c>
      <c r="J163" t="str">
        <f>VLOOKUP(Table1[[#This Row],[CustomerID]],Customer_info!$A:$D,4)</f>
        <v>US</v>
      </c>
      <c r="K163">
        <f>Table1[[#This Row],[Quantity]]*Table1[[#This Row],[UnitPrice]]</f>
        <v>2011.45</v>
      </c>
    </row>
    <row r="164" spans="1:11">
      <c r="A164" t="s">
        <v>293</v>
      </c>
      <c r="B164" s="1">
        <v>45416</v>
      </c>
      <c r="C164" t="s">
        <v>111</v>
      </c>
      <c r="D164" t="s">
        <v>129</v>
      </c>
      <c r="E164">
        <v>2</v>
      </c>
      <c r="F164">
        <v>233.34</v>
      </c>
      <c r="G164" t="str">
        <f>VLOOKUP(Table1[[#This Row],[ProductID]],Products!A:D,2)</f>
        <v>Product_30</v>
      </c>
      <c r="H164" t="str">
        <f>VLOOKUP(Table1[[#This Row],[ProductID]],Products!A:D,3)</f>
        <v>Home</v>
      </c>
      <c r="I164">
        <f>VLOOKUP(Table1[[#This Row],[ProductID]],Products!$A:$D,4)</f>
        <v>116.67</v>
      </c>
      <c r="J164" t="str">
        <f>VLOOKUP(Table1[[#This Row],[CustomerID]],Customer_info!$A:$D,4)</f>
        <v>UK</v>
      </c>
      <c r="K164">
        <f>Table1[[#This Row],[Quantity]]*Table1[[#This Row],[UnitPrice]]</f>
        <v>233.34</v>
      </c>
    </row>
    <row r="165" spans="1:11">
      <c r="A165" t="s">
        <v>294</v>
      </c>
      <c r="B165" s="1">
        <v>45361</v>
      </c>
      <c r="C165" t="s">
        <v>295</v>
      </c>
      <c r="D165" t="s">
        <v>52</v>
      </c>
      <c r="E165">
        <v>2</v>
      </c>
      <c r="F165">
        <v>171.7</v>
      </c>
      <c r="G165" t="str">
        <f>VLOOKUP(Table1[[#This Row],[ProductID]],Products!A:D,2)</f>
        <v>Product_29</v>
      </c>
      <c r="H165" t="str">
        <f>VLOOKUP(Table1[[#This Row],[ProductID]],Products!A:D,3)</f>
        <v>Beauty</v>
      </c>
      <c r="I165">
        <f>VLOOKUP(Table1[[#This Row],[ProductID]],Products!$A:$D,4)</f>
        <v>85.85</v>
      </c>
      <c r="J165" t="str">
        <f>VLOOKUP(Table1[[#This Row],[CustomerID]],Customer_info!$A:$D,4)</f>
        <v>US</v>
      </c>
      <c r="K165">
        <f>Table1[[#This Row],[Quantity]]*Table1[[#This Row],[UnitPrice]]</f>
        <v>171.7</v>
      </c>
    </row>
    <row r="166" spans="1:11">
      <c r="A166" t="s">
        <v>296</v>
      </c>
      <c r="B166" s="1">
        <v>45416</v>
      </c>
      <c r="C166" t="s">
        <v>297</v>
      </c>
      <c r="D166" t="s">
        <v>38</v>
      </c>
      <c r="E166">
        <v>4</v>
      </c>
      <c r="F166">
        <v>1337.28</v>
      </c>
      <c r="G166" t="str">
        <f>VLOOKUP(Table1[[#This Row],[ProductID]],Products!A:D,2)</f>
        <v>Product_28</v>
      </c>
      <c r="H166" t="str">
        <f>VLOOKUP(Table1[[#This Row],[ProductID]],Products!A:D,3)</f>
        <v>Sports</v>
      </c>
      <c r="I166">
        <f>VLOOKUP(Table1[[#This Row],[ProductID]],Products!$A:$D,4)</f>
        <v>334.32</v>
      </c>
      <c r="J166" t="str">
        <f>VLOOKUP(Table1[[#This Row],[CustomerID]],Customer_info!$A:$D,4)</f>
        <v>UK</v>
      </c>
      <c r="K166">
        <f>Table1[[#This Row],[Quantity]]*Table1[[#This Row],[UnitPrice]]</f>
        <v>1337.28</v>
      </c>
    </row>
    <row r="167" spans="1:11">
      <c r="A167" t="s">
        <v>298</v>
      </c>
      <c r="B167" s="1">
        <v>45391</v>
      </c>
      <c r="C167" t="s">
        <v>299</v>
      </c>
      <c r="D167" t="s">
        <v>44</v>
      </c>
      <c r="E167">
        <v>1</v>
      </c>
      <c r="F167">
        <v>272.77999999999997</v>
      </c>
      <c r="G167" t="str">
        <f>VLOOKUP(Table1[[#This Row],[ProductID]],Products!A:D,2)</f>
        <v>Product_15</v>
      </c>
      <c r="H167" t="str">
        <f>VLOOKUP(Table1[[#This Row],[ProductID]],Products!A:D,3)</f>
        <v>Clothing</v>
      </c>
      <c r="I167">
        <f>VLOOKUP(Table1[[#This Row],[ProductID]],Products!$A:$D,4)</f>
        <v>272.77999999999997</v>
      </c>
      <c r="J167" t="str">
        <f>VLOOKUP(Table1[[#This Row],[CustomerID]],Customer_info!$A:$D,4)</f>
        <v>UK</v>
      </c>
      <c r="K167">
        <f>Table1[[#This Row],[Quantity]]*Table1[[#This Row],[UnitPrice]]</f>
        <v>272.77999999999997</v>
      </c>
    </row>
    <row r="168" spans="1:11">
      <c r="A168" t="s">
        <v>300</v>
      </c>
      <c r="B168" s="1">
        <v>45463</v>
      </c>
      <c r="C168" t="s">
        <v>218</v>
      </c>
      <c r="D168" t="s">
        <v>52</v>
      </c>
      <c r="E168">
        <v>3</v>
      </c>
      <c r="F168">
        <v>257.55</v>
      </c>
      <c r="G168" t="str">
        <f>VLOOKUP(Table1[[#This Row],[ProductID]],Products!A:D,2)</f>
        <v>Product_29</v>
      </c>
      <c r="H168" t="str">
        <f>VLOOKUP(Table1[[#This Row],[ProductID]],Products!A:D,3)</f>
        <v>Beauty</v>
      </c>
      <c r="I168">
        <f>VLOOKUP(Table1[[#This Row],[ProductID]],Products!$A:$D,4)</f>
        <v>85.85</v>
      </c>
      <c r="J168" t="str">
        <f>VLOOKUP(Table1[[#This Row],[CustomerID]],Customer_info!$A:$D,4)</f>
        <v>US</v>
      </c>
      <c r="K168">
        <f>Table1[[#This Row],[Quantity]]*Table1[[#This Row],[UnitPrice]]</f>
        <v>257.54999999999995</v>
      </c>
    </row>
    <row r="169" spans="1:11">
      <c r="A169" t="s">
        <v>301</v>
      </c>
      <c r="B169" s="1">
        <v>45334</v>
      </c>
      <c r="C169" t="s">
        <v>302</v>
      </c>
      <c r="D169" t="s">
        <v>129</v>
      </c>
      <c r="E169">
        <v>4</v>
      </c>
      <c r="F169">
        <v>466.68</v>
      </c>
      <c r="G169" t="str">
        <f>VLOOKUP(Table1[[#This Row],[ProductID]],Products!A:D,2)</f>
        <v>Product_30</v>
      </c>
      <c r="H169" t="str">
        <f>VLOOKUP(Table1[[#This Row],[ProductID]],Products!A:D,3)</f>
        <v>Home</v>
      </c>
      <c r="I169">
        <f>VLOOKUP(Table1[[#This Row],[ProductID]],Products!$A:$D,4)</f>
        <v>116.67</v>
      </c>
      <c r="J169" t="str">
        <f>VLOOKUP(Table1[[#This Row],[CustomerID]],Customer_info!$A:$D,4)</f>
        <v>US</v>
      </c>
      <c r="K169">
        <f>Table1[[#This Row],[Quantity]]*Table1[[#This Row],[UnitPrice]]</f>
        <v>466.68</v>
      </c>
    </row>
    <row r="170" spans="1:11">
      <c r="A170" t="s">
        <v>303</v>
      </c>
      <c r="B170" s="1">
        <v>45324</v>
      </c>
      <c r="C170" t="s">
        <v>139</v>
      </c>
      <c r="D170" t="s">
        <v>304</v>
      </c>
      <c r="E170">
        <v>4</v>
      </c>
      <c r="F170">
        <v>1096.8800000000001</v>
      </c>
      <c r="G170" t="str">
        <f>VLOOKUP(Table1[[#This Row],[ProductID]],Products!A:D,2)</f>
        <v>Product_4</v>
      </c>
      <c r="H170" t="str">
        <f>VLOOKUP(Table1[[#This Row],[ProductID]],Products!A:D,3)</f>
        <v>Clothing</v>
      </c>
      <c r="I170">
        <f>VLOOKUP(Table1[[#This Row],[ProductID]],Products!$A:$D,4)</f>
        <v>274.22000000000003</v>
      </c>
      <c r="J170" t="str">
        <f>VLOOKUP(Table1[[#This Row],[CustomerID]],Customer_info!$A:$D,4)</f>
        <v>US</v>
      </c>
      <c r="K170">
        <f>Table1[[#This Row],[Quantity]]*Table1[[#This Row],[UnitPrice]]</f>
        <v>1096.8800000000001</v>
      </c>
    </row>
    <row r="171" spans="1:11">
      <c r="A171" t="s">
        <v>305</v>
      </c>
      <c r="B171" s="1">
        <v>45428</v>
      </c>
      <c r="C171" t="s">
        <v>13</v>
      </c>
      <c r="D171" t="s">
        <v>132</v>
      </c>
      <c r="E171">
        <v>5</v>
      </c>
      <c r="F171">
        <v>1689</v>
      </c>
      <c r="G171" t="str">
        <f>VLOOKUP(Table1[[#This Row],[ProductID]],Products!A:D,2)</f>
        <v>Product_3</v>
      </c>
      <c r="H171" t="str">
        <f>VLOOKUP(Table1[[#This Row],[ProductID]],Products!A:D,3)</f>
        <v>Home</v>
      </c>
      <c r="I171">
        <f>VLOOKUP(Table1[[#This Row],[ProductID]],Products!$A:$D,4)</f>
        <v>337.8</v>
      </c>
      <c r="J171" t="str">
        <f>VLOOKUP(Table1[[#This Row],[CustomerID]],Customer_info!$A:$D,4)</f>
        <v>Canada</v>
      </c>
      <c r="K171">
        <f>Table1[[#This Row],[Quantity]]*Table1[[#This Row],[UnitPrice]]</f>
        <v>1689</v>
      </c>
    </row>
    <row r="172" spans="1:11">
      <c r="A172" t="s">
        <v>306</v>
      </c>
      <c r="B172" s="1">
        <v>45392</v>
      </c>
      <c r="C172" t="s">
        <v>307</v>
      </c>
      <c r="D172" t="s">
        <v>17</v>
      </c>
      <c r="E172">
        <v>1</v>
      </c>
      <c r="F172">
        <v>394.46</v>
      </c>
      <c r="G172" t="str">
        <f>VLOOKUP(Table1[[#This Row],[ProductID]],Products!A:D,2)</f>
        <v>Product_6</v>
      </c>
      <c r="H172" t="str">
        <f>VLOOKUP(Table1[[#This Row],[ProductID]],Products!A:D,3)</f>
        <v>Clothing</v>
      </c>
      <c r="I172">
        <f>VLOOKUP(Table1[[#This Row],[ProductID]],Products!$A:$D,4)</f>
        <v>394.46</v>
      </c>
      <c r="J172" t="str">
        <f>VLOOKUP(Table1[[#This Row],[CustomerID]],Customer_info!$A:$D,4)</f>
        <v>Canada</v>
      </c>
      <c r="K172">
        <f>Table1[[#This Row],[Quantity]]*Table1[[#This Row],[UnitPrice]]</f>
        <v>394.46</v>
      </c>
    </row>
    <row r="173" spans="1:11">
      <c r="A173" t="s">
        <v>308</v>
      </c>
      <c r="B173" s="1">
        <v>45436</v>
      </c>
      <c r="C173" t="s">
        <v>245</v>
      </c>
      <c r="D173" t="s">
        <v>81</v>
      </c>
      <c r="E173">
        <v>5</v>
      </c>
      <c r="F173">
        <v>2166.4</v>
      </c>
      <c r="G173" t="str">
        <f>VLOOKUP(Table1[[#This Row],[ProductID]],Products!A:D,2)</f>
        <v>Product_10</v>
      </c>
      <c r="H173" t="str">
        <f>VLOOKUP(Table1[[#This Row],[ProductID]],Products!A:D,3)</f>
        <v>Beauty</v>
      </c>
      <c r="I173">
        <f>VLOOKUP(Table1[[#This Row],[ProductID]],Products!$A:$D,4)</f>
        <v>433.28</v>
      </c>
      <c r="J173" t="str">
        <f>VLOOKUP(Table1[[#This Row],[CustomerID]],Customer_info!$A:$D,4)</f>
        <v>UK</v>
      </c>
      <c r="K173">
        <f>Table1[[#This Row],[Quantity]]*Table1[[#This Row],[UnitPrice]]</f>
        <v>2166.3999999999996</v>
      </c>
    </row>
    <row r="174" spans="1:11">
      <c r="A174" t="s">
        <v>309</v>
      </c>
      <c r="B174" s="1">
        <v>45313</v>
      </c>
      <c r="C174" t="s">
        <v>310</v>
      </c>
      <c r="D174" t="s">
        <v>8</v>
      </c>
      <c r="E174">
        <v>1</v>
      </c>
      <c r="F174">
        <v>419.65</v>
      </c>
      <c r="G174" t="str">
        <f>VLOOKUP(Table1[[#This Row],[ProductID]],Products!A:D,2)</f>
        <v>Product_20</v>
      </c>
      <c r="H174" t="str">
        <f>VLOOKUP(Table1[[#This Row],[ProductID]],Products!A:D,3)</f>
        <v>Sports</v>
      </c>
      <c r="I174">
        <f>VLOOKUP(Table1[[#This Row],[ProductID]],Products!$A:$D,4)</f>
        <v>419.65</v>
      </c>
      <c r="J174" t="str">
        <f>VLOOKUP(Table1[[#This Row],[CustomerID]],Customer_info!$A:$D,4)</f>
        <v>US</v>
      </c>
      <c r="K174">
        <f>Table1[[#This Row],[Quantity]]*Table1[[#This Row],[UnitPrice]]</f>
        <v>419.65</v>
      </c>
    </row>
    <row r="175" spans="1:11">
      <c r="A175" t="s">
        <v>311</v>
      </c>
      <c r="B175" s="1">
        <v>45326</v>
      </c>
      <c r="C175" t="s">
        <v>312</v>
      </c>
      <c r="D175" t="s">
        <v>124</v>
      </c>
      <c r="E175">
        <v>4</v>
      </c>
      <c r="F175">
        <v>158.80000000000001</v>
      </c>
      <c r="G175" t="str">
        <f>VLOOKUP(Table1[[#This Row],[ProductID]],Products!A:D,2)</f>
        <v>Product_12</v>
      </c>
      <c r="H175" t="str">
        <f>VLOOKUP(Table1[[#This Row],[ProductID]],Products!A:D,3)</f>
        <v>Electronics</v>
      </c>
      <c r="I175">
        <f>VLOOKUP(Table1[[#This Row],[ProductID]],Products!$A:$D,4)</f>
        <v>39.700000000000003</v>
      </c>
      <c r="J175" t="str">
        <f>VLOOKUP(Table1[[#This Row],[CustomerID]],Customer_info!$A:$D,4)</f>
        <v>UK</v>
      </c>
      <c r="K175">
        <f>Table1[[#This Row],[Quantity]]*Table1[[#This Row],[UnitPrice]]</f>
        <v>158.80000000000001</v>
      </c>
    </row>
    <row r="176" spans="1:11">
      <c r="A176" t="s">
        <v>313</v>
      </c>
      <c r="B176" s="1">
        <v>45338</v>
      </c>
      <c r="C176" t="s">
        <v>269</v>
      </c>
      <c r="D176" t="s">
        <v>28</v>
      </c>
      <c r="E176">
        <v>4</v>
      </c>
      <c r="F176">
        <v>1808.8</v>
      </c>
      <c r="G176" t="str">
        <f>VLOOKUP(Table1[[#This Row],[ProductID]],Products!A:D,2)</f>
        <v>Product_24</v>
      </c>
      <c r="H176" t="str">
        <f>VLOOKUP(Table1[[#This Row],[ProductID]],Products!A:D,3)</f>
        <v>Beauty</v>
      </c>
      <c r="I176">
        <f>VLOOKUP(Table1[[#This Row],[ProductID]],Products!$A:$D,4)</f>
        <v>452.2</v>
      </c>
      <c r="J176" t="str">
        <f>VLOOKUP(Table1[[#This Row],[CustomerID]],Customer_info!$A:$D,4)</f>
        <v>UK</v>
      </c>
      <c r="K176">
        <f>Table1[[#This Row],[Quantity]]*Table1[[#This Row],[UnitPrice]]</f>
        <v>1808.8</v>
      </c>
    </row>
    <row r="177" spans="1:11">
      <c r="A177" t="s">
        <v>314</v>
      </c>
      <c r="B177" s="1">
        <v>45358</v>
      </c>
      <c r="C177" t="s">
        <v>315</v>
      </c>
      <c r="D177" t="s">
        <v>52</v>
      </c>
      <c r="E177">
        <v>1</v>
      </c>
      <c r="F177">
        <v>85.85</v>
      </c>
      <c r="G177" t="str">
        <f>VLOOKUP(Table1[[#This Row],[ProductID]],Products!A:D,2)</f>
        <v>Product_29</v>
      </c>
      <c r="H177" t="str">
        <f>VLOOKUP(Table1[[#This Row],[ProductID]],Products!A:D,3)</f>
        <v>Beauty</v>
      </c>
      <c r="I177">
        <f>VLOOKUP(Table1[[#This Row],[ProductID]],Products!$A:$D,4)</f>
        <v>85.85</v>
      </c>
      <c r="J177" t="str">
        <f>VLOOKUP(Table1[[#This Row],[CustomerID]],Customer_info!$A:$D,4)</f>
        <v>US</v>
      </c>
      <c r="K177">
        <f>Table1[[#This Row],[Quantity]]*Table1[[#This Row],[UnitPrice]]</f>
        <v>85.85</v>
      </c>
    </row>
    <row r="178" spans="1:11">
      <c r="A178" t="s">
        <v>316</v>
      </c>
      <c r="B178" s="1">
        <v>45375</v>
      </c>
      <c r="C178" t="s">
        <v>111</v>
      </c>
      <c r="D178" t="s">
        <v>108</v>
      </c>
      <c r="E178">
        <v>4</v>
      </c>
      <c r="F178">
        <v>197</v>
      </c>
      <c r="G178" t="str">
        <f>VLOOKUP(Table1[[#This Row],[ProductID]],Products!A:D,2)</f>
        <v>Product_36</v>
      </c>
      <c r="H178" t="str">
        <f>VLOOKUP(Table1[[#This Row],[ProductID]],Products!A:D,3)</f>
        <v>Sports</v>
      </c>
      <c r="I178">
        <f>VLOOKUP(Table1[[#This Row],[ProductID]],Products!$A:$D,4)</f>
        <v>49.25</v>
      </c>
      <c r="J178" t="str">
        <f>VLOOKUP(Table1[[#This Row],[CustomerID]],Customer_info!$A:$D,4)</f>
        <v>UK</v>
      </c>
      <c r="K178">
        <f>Table1[[#This Row],[Quantity]]*Table1[[#This Row],[UnitPrice]]</f>
        <v>197</v>
      </c>
    </row>
    <row r="179" spans="1:11">
      <c r="A179" t="s">
        <v>317</v>
      </c>
      <c r="B179" s="1">
        <v>45408</v>
      </c>
      <c r="C179" t="s">
        <v>318</v>
      </c>
      <c r="D179" t="s">
        <v>35</v>
      </c>
      <c r="E179">
        <v>2</v>
      </c>
      <c r="F179">
        <v>584.67999999999995</v>
      </c>
      <c r="G179" t="str">
        <f>VLOOKUP(Table1[[#This Row],[ProductID]],Products!A:D,2)</f>
        <v>Product_5</v>
      </c>
      <c r="H179" t="str">
        <f>VLOOKUP(Table1[[#This Row],[ProductID]],Products!A:D,3)</f>
        <v>Sports</v>
      </c>
      <c r="I179">
        <f>VLOOKUP(Table1[[#This Row],[ProductID]],Products!$A:$D,4)</f>
        <v>292.33999999999997</v>
      </c>
      <c r="J179" t="str">
        <f>VLOOKUP(Table1[[#This Row],[CustomerID]],Customer_info!$A:$D,4)</f>
        <v>UK</v>
      </c>
      <c r="K179">
        <f>Table1[[#This Row],[Quantity]]*Table1[[#This Row],[UnitPrice]]</f>
        <v>584.67999999999995</v>
      </c>
    </row>
    <row r="180" spans="1:11">
      <c r="A180" t="s">
        <v>319</v>
      </c>
      <c r="B180" s="1">
        <v>45378</v>
      </c>
      <c r="C180" t="s">
        <v>167</v>
      </c>
      <c r="D180" t="s">
        <v>124</v>
      </c>
      <c r="E180">
        <v>3</v>
      </c>
      <c r="F180">
        <v>119.1</v>
      </c>
      <c r="G180" t="str">
        <f>VLOOKUP(Table1[[#This Row],[ProductID]],Products!A:D,2)</f>
        <v>Product_12</v>
      </c>
      <c r="H180" t="str">
        <f>VLOOKUP(Table1[[#This Row],[ProductID]],Products!A:D,3)</f>
        <v>Electronics</v>
      </c>
      <c r="I180">
        <f>VLOOKUP(Table1[[#This Row],[ProductID]],Products!$A:$D,4)</f>
        <v>39.700000000000003</v>
      </c>
      <c r="J180" t="str">
        <f>VLOOKUP(Table1[[#This Row],[CustomerID]],Customer_info!$A:$D,4)</f>
        <v>UK</v>
      </c>
      <c r="K180">
        <f>Table1[[#This Row],[Quantity]]*Table1[[#This Row],[UnitPrice]]</f>
        <v>119.10000000000001</v>
      </c>
    </row>
    <row r="181" spans="1:11">
      <c r="A181" t="s">
        <v>320</v>
      </c>
      <c r="B181" s="1">
        <v>45363</v>
      </c>
      <c r="C181" t="s">
        <v>206</v>
      </c>
      <c r="D181" t="s">
        <v>35</v>
      </c>
      <c r="E181">
        <v>4</v>
      </c>
      <c r="F181">
        <v>1169.3599999999999</v>
      </c>
      <c r="G181" t="str">
        <f>VLOOKUP(Table1[[#This Row],[ProductID]],Products!A:D,2)</f>
        <v>Product_5</v>
      </c>
      <c r="H181" t="str">
        <f>VLOOKUP(Table1[[#This Row],[ProductID]],Products!A:D,3)</f>
        <v>Sports</v>
      </c>
      <c r="I181">
        <f>VLOOKUP(Table1[[#This Row],[ProductID]],Products!$A:$D,4)</f>
        <v>292.33999999999997</v>
      </c>
      <c r="J181" t="str">
        <f>VLOOKUP(Table1[[#This Row],[CustomerID]],Customer_info!$A:$D,4)</f>
        <v>Canada</v>
      </c>
      <c r="K181">
        <f>Table1[[#This Row],[Quantity]]*Table1[[#This Row],[UnitPrice]]</f>
        <v>1169.3599999999999</v>
      </c>
    </row>
    <row r="182" spans="1:11">
      <c r="A182" t="s">
        <v>321</v>
      </c>
      <c r="B182" s="1">
        <v>45356</v>
      </c>
      <c r="C182" t="s">
        <v>145</v>
      </c>
      <c r="D182" t="s">
        <v>8</v>
      </c>
      <c r="E182">
        <v>4</v>
      </c>
      <c r="F182">
        <v>1678.6</v>
      </c>
      <c r="G182" t="str">
        <f>VLOOKUP(Table1[[#This Row],[ProductID]],Products!A:D,2)</f>
        <v>Product_20</v>
      </c>
      <c r="H182" t="str">
        <f>VLOOKUP(Table1[[#This Row],[ProductID]],Products!A:D,3)</f>
        <v>Sports</v>
      </c>
      <c r="I182">
        <f>VLOOKUP(Table1[[#This Row],[ProductID]],Products!$A:$D,4)</f>
        <v>419.65</v>
      </c>
      <c r="J182" t="str">
        <f>VLOOKUP(Table1[[#This Row],[CustomerID]],Customer_info!$A:$D,4)</f>
        <v>UK</v>
      </c>
      <c r="K182">
        <f>Table1[[#This Row],[Quantity]]*Table1[[#This Row],[UnitPrice]]</f>
        <v>1678.6</v>
      </c>
    </row>
    <row r="183" spans="1:11">
      <c r="A183" t="s">
        <v>322</v>
      </c>
      <c r="B183" s="1">
        <v>45412</v>
      </c>
      <c r="C183" t="s">
        <v>323</v>
      </c>
      <c r="D183" t="s">
        <v>178</v>
      </c>
      <c r="E183">
        <v>1</v>
      </c>
      <c r="F183">
        <v>217.55</v>
      </c>
      <c r="G183" t="str">
        <f>VLOOKUP(Table1[[#This Row],[ProductID]],Products!A:D,2)</f>
        <v>Product_9</v>
      </c>
      <c r="H183" t="str">
        <f>VLOOKUP(Table1[[#This Row],[ProductID]],Products!A:D,3)</f>
        <v>Home</v>
      </c>
      <c r="I183">
        <f>VLOOKUP(Table1[[#This Row],[ProductID]],Products!$A:$D,4)</f>
        <v>217.55</v>
      </c>
      <c r="J183" t="str">
        <f>VLOOKUP(Table1[[#This Row],[CustomerID]],Customer_info!$A:$D,4)</f>
        <v>US</v>
      </c>
      <c r="K183">
        <f>Table1[[#This Row],[Quantity]]*Table1[[#This Row],[UnitPrice]]</f>
        <v>217.55</v>
      </c>
    </row>
    <row r="184" spans="1:11">
      <c r="A184" t="s">
        <v>324</v>
      </c>
      <c r="B184" s="1">
        <v>45430</v>
      </c>
      <c r="C184" t="s">
        <v>245</v>
      </c>
      <c r="D184" t="s">
        <v>129</v>
      </c>
      <c r="E184">
        <v>1</v>
      </c>
      <c r="F184">
        <v>116.67</v>
      </c>
      <c r="G184" t="str">
        <f>VLOOKUP(Table1[[#This Row],[ProductID]],Products!A:D,2)</f>
        <v>Product_30</v>
      </c>
      <c r="H184" t="str">
        <f>VLOOKUP(Table1[[#This Row],[ProductID]],Products!A:D,3)</f>
        <v>Home</v>
      </c>
      <c r="I184">
        <f>VLOOKUP(Table1[[#This Row],[ProductID]],Products!$A:$D,4)</f>
        <v>116.67</v>
      </c>
      <c r="J184" t="str">
        <f>VLOOKUP(Table1[[#This Row],[CustomerID]],Customer_info!$A:$D,4)</f>
        <v>UK</v>
      </c>
      <c r="K184">
        <f>Table1[[#This Row],[Quantity]]*Table1[[#This Row],[UnitPrice]]</f>
        <v>116.67</v>
      </c>
    </row>
    <row r="185" spans="1:11">
      <c r="A185" t="s">
        <v>325</v>
      </c>
      <c r="B185" s="1">
        <v>45381</v>
      </c>
      <c r="C185" t="s">
        <v>233</v>
      </c>
      <c r="D185" t="s">
        <v>17</v>
      </c>
      <c r="E185">
        <v>1</v>
      </c>
      <c r="F185">
        <v>394.46</v>
      </c>
      <c r="G185" t="str">
        <f>VLOOKUP(Table1[[#This Row],[ProductID]],Products!A:D,2)</f>
        <v>Product_6</v>
      </c>
      <c r="H185" t="str">
        <f>VLOOKUP(Table1[[#This Row],[ProductID]],Products!A:D,3)</f>
        <v>Clothing</v>
      </c>
      <c r="I185">
        <f>VLOOKUP(Table1[[#This Row],[ProductID]],Products!$A:$D,4)</f>
        <v>394.46</v>
      </c>
      <c r="J185" t="str">
        <f>VLOOKUP(Table1[[#This Row],[CustomerID]],Customer_info!$A:$D,4)</f>
        <v>India</v>
      </c>
      <c r="K185">
        <f>Table1[[#This Row],[Quantity]]*Table1[[#This Row],[UnitPrice]]</f>
        <v>394.46</v>
      </c>
    </row>
    <row r="186" spans="1:11">
      <c r="A186" t="s">
        <v>326</v>
      </c>
      <c r="B186" s="1">
        <v>45458</v>
      </c>
      <c r="C186" t="s">
        <v>76</v>
      </c>
      <c r="D186" t="s">
        <v>28</v>
      </c>
      <c r="E186">
        <v>2</v>
      </c>
      <c r="F186">
        <v>904.4</v>
      </c>
      <c r="G186" t="str">
        <f>VLOOKUP(Table1[[#This Row],[ProductID]],Products!A:D,2)</f>
        <v>Product_24</v>
      </c>
      <c r="H186" t="str">
        <f>VLOOKUP(Table1[[#This Row],[ProductID]],Products!A:D,3)</f>
        <v>Beauty</v>
      </c>
      <c r="I186">
        <f>VLOOKUP(Table1[[#This Row],[ProductID]],Products!$A:$D,4)</f>
        <v>452.2</v>
      </c>
      <c r="J186" t="str">
        <f>VLOOKUP(Table1[[#This Row],[CustomerID]],Customer_info!$A:$D,4)</f>
        <v>UK</v>
      </c>
      <c r="K186">
        <f>Table1[[#This Row],[Quantity]]*Table1[[#This Row],[UnitPrice]]</f>
        <v>904.4</v>
      </c>
    </row>
    <row r="187" spans="1:11">
      <c r="A187" t="s">
        <v>327</v>
      </c>
      <c r="B187" s="1">
        <v>45458</v>
      </c>
      <c r="C187" t="s">
        <v>87</v>
      </c>
      <c r="D187" t="s">
        <v>52</v>
      </c>
      <c r="E187">
        <v>1</v>
      </c>
      <c r="F187">
        <v>85.85</v>
      </c>
      <c r="G187" t="str">
        <f>VLOOKUP(Table1[[#This Row],[ProductID]],Products!A:D,2)</f>
        <v>Product_29</v>
      </c>
      <c r="H187" t="str">
        <f>VLOOKUP(Table1[[#This Row],[ProductID]],Products!A:D,3)</f>
        <v>Beauty</v>
      </c>
      <c r="I187">
        <f>VLOOKUP(Table1[[#This Row],[ProductID]],Products!$A:$D,4)</f>
        <v>85.85</v>
      </c>
      <c r="J187" t="str">
        <f>VLOOKUP(Table1[[#This Row],[CustomerID]],Customer_info!$A:$D,4)</f>
        <v>UK</v>
      </c>
      <c r="K187">
        <f>Table1[[#This Row],[Quantity]]*Table1[[#This Row],[UnitPrice]]</f>
        <v>85.85</v>
      </c>
    </row>
    <row r="188" spans="1:11">
      <c r="A188" t="s">
        <v>328</v>
      </c>
      <c r="B188" s="1">
        <v>45299</v>
      </c>
      <c r="C188" t="s">
        <v>182</v>
      </c>
      <c r="D188" t="s">
        <v>146</v>
      </c>
      <c r="E188">
        <v>1</v>
      </c>
      <c r="F188">
        <v>332.9</v>
      </c>
      <c r="G188" t="str">
        <f>VLOOKUP(Table1[[#This Row],[ProductID]],Products!A:D,2)</f>
        <v>Product_8</v>
      </c>
      <c r="H188" t="str">
        <f>VLOOKUP(Table1[[#This Row],[ProductID]],Products!A:D,3)</f>
        <v>Electronics</v>
      </c>
      <c r="I188">
        <f>VLOOKUP(Table1[[#This Row],[ProductID]],Products!$A:$D,4)</f>
        <v>332.9</v>
      </c>
      <c r="J188" t="str">
        <f>VLOOKUP(Table1[[#This Row],[CustomerID]],Customer_info!$A:$D,4)</f>
        <v>Canada</v>
      </c>
      <c r="K188">
        <f>Table1[[#This Row],[Quantity]]*Table1[[#This Row],[UnitPrice]]</f>
        <v>332.9</v>
      </c>
    </row>
    <row r="189" spans="1:11">
      <c r="A189" t="s">
        <v>329</v>
      </c>
      <c r="B189" s="1">
        <v>45343</v>
      </c>
      <c r="C189" t="s">
        <v>85</v>
      </c>
      <c r="D189" t="s">
        <v>52</v>
      </c>
      <c r="E189">
        <v>2</v>
      </c>
      <c r="F189">
        <v>171.7</v>
      </c>
      <c r="G189" t="str">
        <f>VLOOKUP(Table1[[#This Row],[ProductID]],Products!A:D,2)</f>
        <v>Product_29</v>
      </c>
      <c r="H189" t="str">
        <f>VLOOKUP(Table1[[#This Row],[ProductID]],Products!A:D,3)</f>
        <v>Beauty</v>
      </c>
      <c r="I189">
        <f>VLOOKUP(Table1[[#This Row],[ProductID]],Products!$A:$D,4)</f>
        <v>85.85</v>
      </c>
      <c r="J189" t="str">
        <f>VLOOKUP(Table1[[#This Row],[CustomerID]],Customer_info!$A:$D,4)</f>
        <v>UK</v>
      </c>
      <c r="K189">
        <f>Table1[[#This Row],[Quantity]]*Table1[[#This Row],[UnitPrice]]</f>
        <v>171.7</v>
      </c>
    </row>
    <row r="190" spans="1:11">
      <c r="A190" t="s">
        <v>330</v>
      </c>
      <c r="B190" s="1">
        <v>45451</v>
      </c>
      <c r="C190" t="s">
        <v>172</v>
      </c>
      <c r="D190" t="s">
        <v>132</v>
      </c>
      <c r="E190">
        <v>1</v>
      </c>
      <c r="F190">
        <v>337.8</v>
      </c>
      <c r="G190" t="str">
        <f>VLOOKUP(Table1[[#This Row],[ProductID]],Products!A:D,2)</f>
        <v>Product_3</v>
      </c>
      <c r="H190" t="str">
        <f>VLOOKUP(Table1[[#This Row],[ProductID]],Products!A:D,3)</f>
        <v>Home</v>
      </c>
      <c r="I190">
        <f>VLOOKUP(Table1[[#This Row],[ProductID]],Products!$A:$D,4)</f>
        <v>337.8</v>
      </c>
      <c r="J190" t="str">
        <f>VLOOKUP(Table1[[#This Row],[CustomerID]],Customer_info!$A:$D,4)</f>
        <v>Canada</v>
      </c>
      <c r="K190">
        <f>Table1[[#This Row],[Quantity]]*Table1[[#This Row],[UnitPrice]]</f>
        <v>337.8</v>
      </c>
    </row>
    <row r="191" spans="1:11">
      <c r="A191" t="s">
        <v>331</v>
      </c>
      <c r="B191" s="1">
        <v>45353</v>
      </c>
      <c r="C191" t="s">
        <v>111</v>
      </c>
      <c r="D191" t="s">
        <v>260</v>
      </c>
      <c r="E191">
        <v>2</v>
      </c>
      <c r="F191">
        <v>391.4</v>
      </c>
      <c r="G191" t="str">
        <f>VLOOKUP(Table1[[#This Row],[ProductID]],Products!A:D,2)</f>
        <v>Product_25</v>
      </c>
      <c r="H191" t="str">
        <f>VLOOKUP(Table1[[#This Row],[ProductID]],Products!A:D,3)</f>
        <v>Clothing</v>
      </c>
      <c r="I191">
        <f>VLOOKUP(Table1[[#This Row],[ProductID]],Products!$A:$D,4)</f>
        <v>195.7</v>
      </c>
      <c r="J191" t="str">
        <f>VLOOKUP(Table1[[#This Row],[CustomerID]],Customer_info!$A:$D,4)</f>
        <v>UK</v>
      </c>
      <c r="K191">
        <f>Table1[[#This Row],[Quantity]]*Table1[[#This Row],[UnitPrice]]</f>
        <v>391.4</v>
      </c>
    </row>
    <row r="192" spans="1:11">
      <c r="A192" t="s">
        <v>332</v>
      </c>
      <c r="B192" s="1">
        <v>45413</v>
      </c>
      <c r="C192" t="s">
        <v>46</v>
      </c>
      <c r="D192" t="s">
        <v>41</v>
      </c>
      <c r="E192">
        <v>2</v>
      </c>
      <c r="F192">
        <v>76.02</v>
      </c>
      <c r="G192" t="str">
        <f>VLOOKUP(Table1[[#This Row],[ProductID]],Products!A:D,2)</f>
        <v>Product_33</v>
      </c>
      <c r="H192" t="str">
        <f>VLOOKUP(Table1[[#This Row],[ProductID]],Products!A:D,3)</f>
        <v>Home</v>
      </c>
      <c r="I192">
        <f>VLOOKUP(Table1[[#This Row],[ProductID]],Products!$A:$D,4)</f>
        <v>38.01</v>
      </c>
      <c r="J192" t="str">
        <f>VLOOKUP(Table1[[#This Row],[CustomerID]],Customer_info!$A:$D,4)</f>
        <v>UK</v>
      </c>
      <c r="K192">
        <f>Table1[[#This Row],[Quantity]]*Table1[[#This Row],[UnitPrice]]</f>
        <v>76.02</v>
      </c>
    </row>
    <row r="193" spans="1:11">
      <c r="A193" t="s">
        <v>333</v>
      </c>
      <c r="B193" s="1">
        <v>45436</v>
      </c>
      <c r="C193" t="s">
        <v>334</v>
      </c>
      <c r="D193" t="s">
        <v>160</v>
      </c>
      <c r="E193">
        <v>1</v>
      </c>
      <c r="F193">
        <v>43.58</v>
      </c>
      <c r="G193" t="str">
        <f>VLOOKUP(Table1[[#This Row],[ProductID]],Products!A:D,2)</f>
        <v>Product_37</v>
      </c>
      <c r="H193" t="str">
        <f>VLOOKUP(Table1[[#This Row],[ProductID]],Products!A:D,3)</f>
        <v>Clothing</v>
      </c>
      <c r="I193">
        <f>VLOOKUP(Table1[[#This Row],[ProductID]],Products!$A:$D,4)</f>
        <v>43.58</v>
      </c>
      <c r="J193" t="str">
        <f>VLOOKUP(Table1[[#This Row],[CustomerID]],Customer_info!$A:$D,4)</f>
        <v>UK</v>
      </c>
      <c r="K193">
        <f>Table1[[#This Row],[Quantity]]*Table1[[#This Row],[UnitPrice]]</f>
        <v>43.58</v>
      </c>
    </row>
    <row r="194" spans="1:11">
      <c r="A194" t="s">
        <v>335</v>
      </c>
      <c r="B194" s="1">
        <v>45411</v>
      </c>
      <c r="C194" t="s">
        <v>57</v>
      </c>
      <c r="D194" t="s">
        <v>114</v>
      </c>
      <c r="E194">
        <v>2</v>
      </c>
      <c r="F194">
        <v>454.26</v>
      </c>
      <c r="G194" t="str">
        <f>VLOOKUP(Table1[[#This Row],[ProductID]],Products!A:D,2)</f>
        <v>Product_18</v>
      </c>
      <c r="H194" t="str">
        <f>VLOOKUP(Table1[[#This Row],[ProductID]],Products!A:D,3)</f>
        <v>Electronics</v>
      </c>
      <c r="I194">
        <f>VLOOKUP(Table1[[#This Row],[ProductID]],Products!$A:$D,4)</f>
        <v>227.13</v>
      </c>
      <c r="J194" t="str">
        <f>VLOOKUP(Table1[[#This Row],[CustomerID]],Customer_info!$A:$D,4)</f>
        <v>UK</v>
      </c>
      <c r="K194">
        <f>Table1[[#This Row],[Quantity]]*Table1[[#This Row],[UnitPrice]]</f>
        <v>454.26</v>
      </c>
    </row>
    <row r="195" spans="1:11">
      <c r="A195" t="s">
        <v>336</v>
      </c>
      <c r="B195" s="1">
        <v>45386</v>
      </c>
      <c r="C195" t="s">
        <v>185</v>
      </c>
      <c r="D195" t="s">
        <v>55</v>
      </c>
      <c r="E195">
        <v>3</v>
      </c>
      <c r="F195">
        <v>391.95</v>
      </c>
      <c r="G195" t="str">
        <f>VLOOKUP(Table1[[#This Row],[ProductID]],Products!A:D,2)</f>
        <v>Product_40</v>
      </c>
      <c r="H195" t="str">
        <f>VLOOKUP(Table1[[#This Row],[ProductID]],Products!A:D,3)</f>
        <v>Sports</v>
      </c>
      <c r="I195">
        <f>VLOOKUP(Table1[[#This Row],[ProductID]],Products!$A:$D,4)</f>
        <v>130.65</v>
      </c>
      <c r="J195" t="str">
        <f>VLOOKUP(Table1[[#This Row],[CustomerID]],Customer_info!$A:$D,4)</f>
        <v>India</v>
      </c>
      <c r="K195">
        <f>Table1[[#This Row],[Quantity]]*Table1[[#This Row],[UnitPrice]]</f>
        <v>391.95000000000005</v>
      </c>
    </row>
    <row r="196" spans="1:11">
      <c r="A196" t="s">
        <v>337</v>
      </c>
      <c r="B196" s="1">
        <v>45447</v>
      </c>
      <c r="C196" t="s">
        <v>7</v>
      </c>
      <c r="D196" t="s">
        <v>178</v>
      </c>
      <c r="E196">
        <v>2</v>
      </c>
      <c r="F196">
        <v>435.1</v>
      </c>
      <c r="G196" t="str">
        <f>VLOOKUP(Table1[[#This Row],[ProductID]],Products!A:D,2)</f>
        <v>Product_9</v>
      </c>
      <c r="H196" t="str">
        <f>VLOOKUP(Table1[[#This Row],[ProductID]],Products!A:D,3)</f>
        <v>Home</v>
      </c>
      <c r="I196">
        <f>VLOOKUP(Table1[[#This Row],[ProductID]],Products!$A:$D,4)</f>
        <v>217.55</v>
      </c>
      <c r="J196" t="str">
        <f>VLOOKUP(Table1[[#This Row],[CustomerID]],Customer_info!$A:$D,4)</f>
        <v>Canada</v>
      </c>
      <c r="K196">
        <f>Table1[[#This Row],[Quantity]]*Table1[[#This Row],[UnitPrice]]</f>
        <v>435.1</v>
      </c>
    </row>
    <row r="197" spans="1:11">
      <c r="A197" t="s">
        <v>338</v>
      </c>
      <c r="B197" s="1">
        <v>45321</v>
      </c>
      <c r="C197" t="s">
        <v>135</v>
      </c>
      <c r="D197" t="s">
        <v>38</v>
      </c>
      <c r="E197">
        <v>5</v>
      </c>
      <c r="F197">
        <v>1671.6</v>
      </c>
      <c r="G197" t="str">
        <f>VLOOKUP(Table1[[#This Row],[ProductID]],Products!A:D,2)</f>
        <v>Product_28</v>
      </c>
      <c r="H197" t="str">
        <f>VLOOKUP(Table1[[#This Row],[ProductID]],Products!A:D,3)</f>
        <v>Sports</v>
      </c>
      <c r="I197">
        <f>VLOOKUP(Table1[[#This Row],[ProductID]],Products!$A:$D,4)</f>
        <v>334.32</v>
      </c>
      <c r="J197" t="str">
        <f>VLOOKUP(Table1[[#This Row],[CustomerID]],Customer_info!$A:$D,4)</f>
        <v>India</v>
      </c>
      <c r="K197">
        <f>Table1[[#This Row],[Quantity]]*Table1[[#This Row],[UnitPrice]]</f>
        <v>1671.6</v>
      </c>
    </row>
    <row r="198" spans="1:11">
      <c r="A198" t="s">
        <v>339</v>
      </c>
      <c r="B198" s="1">
        <v>45371</v>
      </c>
      <c r="C198" t="s">
        <v>83</v>
      </c>
      <c r="D198" t="s">
        <v>260</v>
      </c>
      <c r="E198">
        <v>2</v>
      </c>
      <c r="F198">
        <v>391.4</v>
      </c>
      <c r="G198" t="str">
        <f>VLOOKUP(Table1[[#This Row],[ProductID]],Products!A:D,2)</f>
        <v>Product_25</v>
      </c>
      <c r="H198" t="str">
        <f>VLOOKUP(Table1[[#This Row],[ProductID]],Products!A:D,3)</f>
        <v>Clothing</v>
      </c>
      <c r="I198">
        <f>VLOOKUP(Table1[[#This Row],[ProductID]],Products!$A:$D,4)</f>
        <v>195.7</v>
      </c>
      <c r="J198" t="str">
        <f>VLOOKUP(Table1[[#This Row],[CustomerID]],Customer_info!$A:$D,4)</f>
        <v>UK</v>
      </c>
      <c r="K198">
        <f>Table1[[#This Row],[Quantity]]*Table1[[#This Row],[UnitPrice]]</f>
        <v>391.4</v>
      </c>
    </row>
    <row r="199" spans="1:11">
      <c r="A199" t="s">
        <v>340</v>
      </c>
      <c r="B199" s="1">
        <v>45440</v>
      </c>
      <c r="C199" t="s">
        <v>135</v>
      </c>
      <c r="D199" t="s">
        <v>129</v>
      </c>
      <c r="E199">
        <v>1</v>
      </c>
      <c r="F199">
        <v>116.67</v>
      </c>
      <c r="G199" t="str">
        <f>VLOOKUP(Table1[[#This Row],[ProductID]],Products!A:D,2)</f>
        <v>Product_30</v>
      </c>
      <c r="H199" t="str">
        <f>VLOOKUP(Table1[[#This Row],[ProductID]],Products!A:D,3)</f>
        <v>Home</v>
      </c>
      <c r="I199">
        <f>VLOOKUP(Table1[[#This Row],[ProductID]],Products!$A:$D,4)</f>
        <v>116.67</v>
      </c>
      <c r="J199" t="str">
        <f>VLOOKUP(Table1[[#This Row],[CustomerID]],Customer_info!$A:$D,4)</f>
        <v>India</v>
      </c>
      <c r="K199">
        <f>Table1[[#This Row],[Quantity]]*Table1[[#This Row],[UnitPrice]]</f>
        <v>116.67</v>
      </c>
    </row>
    <row r="200" spans="1:11">
      <c r="A200" t="s">
        <v>341</v>
      </c>
      <c r="B200" s="1">
        <v>45371</v>
      </c>
      <c r="C200" t="s">
        <v>107</v>
      </c>
      <c r="D200" t="s">
        <v>260</v>
      </c>
      <c r="E200">
        <v>1</v>
      </c>
      <c r="F200">
        <v>195.7</v>
      </c>
      <c r="G200" t="str">
        <f>VLOOKUP(Table1[[#This Row],[ProductID]],Products!A:D,2)</f>
        <v>Product_25</v>
      </c>
      <c r="H200" t="str">
        <f>VLOOKUP(Table1[[#This Row],[ProductID]],Products!A:D,3)</f>
        <v>Clothing</v>
      </c>
      <c r="I200">
        <f>VLOOKUP(Table1[[#This Row],[ProductID]],Products!$A:$D,4)</f>
        <v>195.7</v>
      </c>
      <c r="J200" t="str">
        <f>VLOOKUP(Table1[[#This Row],[CustomerID]],Customer_info!$A:$D,4)</f>
        <v>India</v>
      </c>
      <c r="K200">
        <f>Table1[[#This Row],[Quantity]]*Table1[[#This Row],[UnitPrice]]</f>
        <v>195.7</v>
      </c>
    </row>
    <row r="201" spans="1:11">
      <c r="A201" t="s">
        <v>342</v>
      </c>
      <c r="B201" s="1">
        <v>45465</v>
      </c>
      <c r="C201" t="s">
        <v>188</v>
      </c>
      <c r="D201" t="s">
        <v>114</v>
      </c>
      <c r="E201">
        <v>5</v>
      </c>
      <c r="F201">
        <v>1135.6500000000001</v>
      </c>
      <c r="G201" t="str">
        <f>VLOOKUP(Table1[[#This Row],[ProductID]],Products!A:D,2)</f>
        <v>Product_18</v>
      </c>
      <c r="H201" t="str">
        <f>VLOOKUP(Table1[[#This Row],[ProductID]],Products!A:D,3)</f>
        <v>Electronics</v>
      </c>
      <c r="I201">
        <f>VLOOKUP(Table1[[#This Row],[ProductID]],Products!$A:$D,4)</f>
        <v>227.13</v>
      </c>
      <c r="J201" t="str">
        <f>VLOOKUP(Table1[[#This Row],[CustomerID]],Customer_info!$A:$D,4)</f>
        <v>UK</v>
      </c>
      <c r="K201">
        <f>Table1[[#This Row],[Quantity]]*Table1[[#This Row],[UnitPrice]]</f>
        <v>1135.6500000000001</v>
      </c>
    </row>
    <row r="202" spans="1:11">
      <c r="A202" t="s">
        <v>343</v>
      </c>
      <c r="B202" s="1">
        <v>45393</v>
      </c>
      <c r="C202" t="s">
        <v>323</v>
      </c>
      <c r="D202" t="s">
        <v>49</v>
      </c>
      <c r="E202">
        <v>4</v>
      </c>
      <c r="F202">
        <v>1175.2</v>
      </c>
      <c r="G202" t="str">
        <f>VLOOKUP(Table1[[#This Row],[ProductID]],Products!A:D,2)</f>
        <v>Product_31</v>
      </c>
      <c r="H202" t="str">
        <f>VLOOKUP(Table1[[#This Row],[ProductID]],Products!A:D,3)</f>
        <v>Electronics</v>
      </c>
      <c r="I202">
        <f>VLOOKUP(Table1[[#This Row],[ProductID]],Products!$A:$D,4)</f>
        <v>293.8</v>
      </c>
      <c r="J202" t="str">
        <f>VLOOKUP(Table1[[#This Row],[CustomerID]],Customer_info!$A:$D,4)</f>
        <v>US</v>
      </c>
      <c r="K202">
        <f>Table1[[#This Row],[Quantity]]*Table1[[#This Row],[UnitPrice]]</f>
        <v>1175.2</v>
      </c>
    </row>
    <row r="203" spans="1:11">
      <c r="A203" t="s">
        <v>344</v>
      </c>
      <c r="B203" s="1">
        <v>45311</v>
      </c>
      <c r="C203" t="s">
        <v>214</v>
      </c>
      <c r="D203" t="s">
        <v>108</v>
      </c>
      <c r="E203">
        <v>2</v>
      </c>
      <c r="F203">
        <v>98.5</v>
      </c>
      <c r="G203" t="str">
        <f>VLOOKUP(Table1[[#This Row],[ProductID]],Products!A:D,2)</f>
        <v>Product_36</v>
      </c>
      <c r="H203" t="str">
        <f>VLOOKUP(Table1[[#This Row],[ProductID]],Products!A:D,3)</f>
        <v>Sports</v>
      </c>
      <c r="I203">
        <f>VLOOKUP(Table1[[#This Row],[ProductID]],Products!$A:$D,4)</f>
        <v>49.25</v>
      </c>
      <c r="J203" t="str">
        <f>VLOOKUP(Table1[[#This Row],[CustomerID]],Customer_info!$A:$D,4)</f>
        <v>UK</v>
      </c>
      <c r="K203">
        <f>Table1[[#This Row],[Quantity]]*Table1[[#This Row],[UnitPrice]]</f>
        <v>98.5</v>
      </c>
    </row>
    <row r="204" spans="1:11">
      <c r="A204" t="s">
        <v>345</v>
      </c>
      <c r="B204" s="1">
        <v>45468</v>
      </c>
      <c r="C204" t="s">
        <v>346</v>
      </c>
      <c r="D204" t="s">
        <v>28</v>
      </c>
      <c r="E204">
        <v>5</v>
      </c>
      <c r="F204">
        <v>2261</v>
      </c>
      <c r="G204" t="str">
        <f>VLOOKUP(Table1[[#This Row],[ProductID]],Products!A:D,2)</f>
        <v>Product_24</v>
      </c>
      <c r="H204" t="str">
        <f>VLOOKUP(Table1[[#This Row],[ProductID]],Products!A:D,3)</f>
        <v>Beauty</v>
      </c>
      <c r="I204">
        <f>VLOOKUP(Table1[[#This Row],[ProductID]],Products!$A:$D,4)</f>
        <v>452.2</v>
      </c>
      <c r="J204" t="str">
        <f>VLOOKUP(Table1[[#This Row],[CustomerID]],Customer_info!$A:$D,4)</f>
        <v>Canada</v>
      </c>
      <c r="K204">
        <f>Table1[[#This Row],[Quantity]]*Table1[[#This Row],[UnitPrice]]</f>
        <v>2261</v>
      </c>
    </row>
    <row r="205" spans="1:11">
      <c r="A205" t="s">
        <v>347</v>
      </c>
      <c r="B205" s="1">
        <v>45318</v>
      </c>
      <c r="C205" t="s">
        <v>10</v>
      </c>
      <c r="D205" t="s">
        <v>260</v>
      </c>
      <c r="E205">
        <v>2</v>
      </c>
      <c r="F205">
        <v>391.4</v>
      </c>
      <c r="G205" t="str">
        <f>VLOOKUP(Table1[[#This Row],[ProductID]],Products!A:D,2)</f>
        <v>Product_25</v>
      </c>
      <c r="H205" t="str">
        <f>VLOOKUP(Table1[[#This Row],[ProductID]],Products!A:D,3)</f>
        <v>Clothing</v>
      </c>
      <c r="I205">
        <f>VLOOKUP(Table1[[#This Row],[ProductID]],Products!$A:$D,4)</f>
        <v>195.7</v>
      </c>
      <c r="J205" t="str">
        <f>VLOOKUP(Table1[[#This Row],[CustomerID]],Customer_info!$A:$D,4)</f>
        <v>India</v>
      </c>
      <c r="K205">
        <f>Table1[[#This Row],[Quantity]]*Table1[[#This Row],[UnitPrice]]</f>
        <v>391.4</v>
      </c>
    </row>
    <row r="206" spans="1:11">
      <c r="A206" t="s">
        <v>348</v>
      </c>
      <c r="B206" s="1">
        <v>45467</v>
      </c>
      <c r="C206" t="s">
        <v>243</v>
      </c>
      <c r="D206" t="s">
        <v>23</v>
      </c>
      <c r="E206">
        <v>3</v>
      </c>
      <c r="F206">
        <v>309.89999999999998</v>
      </c>
      <c r="G206" t="str">
        <f>VLOOKUP(Table1[[#This Row],[ProductID]],Products!A:D,2)</f>
        <v>Product_7</v>
      </c>
      <c r="H206" t="str">
        <f>VLOOKUP(Table1[[#This Row],[ProductID]],Products!A:D,3)</f>
        <v>Beauty</v>
      </c>
      <c r="I206">
        <f>VLOOKUP(Table1[[#This Row],[ProductID]],Products!$A:$D,4)</f>
        <v>103.3</v>
      </c>
      <c r="J206" t="str">
        <f>VLOOKUP(Table1[[#This Row],[CustomerID]],Customer_info!$A:$D,4)</f>
        <v>India</v>
      </c>
      <c r="K206">
        <f>Table1[[#This Row],[Quantity]]*Table1[[#This Row],[UnitPrice]]</f>
        <v>309.89999999999998</v>
      </c>
    </row>
    <row r="207" spans="1:11">
      <c r="A207" t="s">
        <v>349</v>
      </c>
      <c r="B207" s="1">
        <v>45322</v>
      </c>
      <c r="C207" t="s">
        <v>51</v>
      </c>
      <c r="D207" t="s">
        <v>98</v>
      </c>
      <c r="E207">
        <v>5</v>
      </c>
      <c r="F207">
        <v>659.2</v>
      </c>
      <c r="G207" t="str">
        <f>VLOOKUP(Table1[[#This Row],[ProductID]],Products!A:D,2)</f>
        <v>Product_14</v>
      </c>
      <c r="H207" t="str">
        <f>VLOOKUP(Table1[[#This Row],[ProductID]],Products!A:D,3)</f>
        <v>Electronics</v>
      </c>
      <c r="I207">
        <f>VLOOKUP(Table1[[#This Row],[ProductID]],Products!$A:$D,4)</f>
        <v>131.84</v>
      </c>
      <c r="J207" t="str">
        <f>VLOOKUP(Table1[[#This Row],[CustomerID]],Customer_info!$A:$D,4)</f>
        <v>US</v>
      </c>
      <c r="K207">
        <f>Table1[[#This Row],[Quantity]]*Table1[[#This Row],[UnitPrice]]</f>
        <v>659.2</v>
      </c>
    </row>
    <row r="208" spans="1:11">
      <c r="A208" t="s">
        <v>350</v>
      </c>
      <c r="B208" s="1">
        <v>45302</v>
      </c>
      <c r="C208" t="s">
        <v>264</v>
      </c>
      <c r="D208" t="s">
        <v>52</v>
      </c>
      <c r="E208">
        <v>5</v>
      </c>
      <c r="F208">
        <v>429.25</v>
      </c>
      <c r="G208" t="str">
        <f>VLOOKUP(Table1[[#This Row],[ProductID]],Products!A:D,2)</f>
        <v>Product_29</v>
      </c>
      <c r="H208" t="str">
        <f>VLOOKUP(Table1[[#This Row],[ProductID]],Products!A:D,3)</f>
        <v>Beauty</v>
      </c>
      <c r="I208">
        <f>VLOOKUP(Table1[[#This Row],[ProductID]],Products!$A:$D,4)</f>
        <v>85.85</v>
      </c>
      <c r="J208" t="str">
        <f>VLOOKUP(Table1[[#This Row],[CustomerID]],Customer_info!$A:$D,4)</f>
        <v>Canada</v>
      </c>
      <c r="K208">
        <f>Table1[[#This Row],[Quantity]]*Table1[[#This Row],[UnitPrice]]</f>
        <v>429.25</v>
      </c>
    </row>
    <row r="209" spans="1:11">
      <c r="A209" t="s">
        <v>351</v>
      </c>
      <c r="B209" s="1">
        <v>45428</v>
      </c>
      <c r="C209" t="s">
        <v>126</v>
      </c>
      <c r="D209" t="s">
        <v>146</v>
      </c>
      <c r="E209">
        <v>3</v>
      </c>
      <c r="F209">
        <v>998.7</v>
      </c>
      <c r="G209" t="str">
        <f>VLOOKUP(Table1[[#This Row],[ProductID]],Products!A:D,2)</f>
        <v>Product_8</v>
      </c>
      <c r="H209" t="str">
        <f>VLOOKUP(Table1[[#This Row],[ProductID]],Products!A:D,3)</f>
        <v>Electronics</v>
      </c>
      <c r="I209">
        <f>VLOOKUP(Table1[[#This Row],[ProductID]],Products!$A:$D,4)</f>
        <v>332.9</v>
      </c>
      <c r="J209" t="str">
        <f>VLOOKUP(Table1[[#This Row],[CustomerID]],Customer_info!$A:$D,4)</f>
        <v>India</v>
      </c>
      <c r="K209">
        <f>Table1[[#This Row],[Quantity]]*Table1[[#This Row],[UnitPrice]]</f>
        <v>998.69999999999993</v>
      </c>
    </row>
    <row r="210" spans="1:11">
      <c r="A210" t="s">
        <v>352</v>
      </c>
      <c r="B210" s="1">
        <v>45461</v>
      </c>
      <c r="C210" t="s">
        <v>54</v>
      </c>
      <c r="D210" t="s">
        <v>231</v>
      </c>
      <c r="E210">
        <v>4</v>
      </c>
      <c r="F210">
        <v>974.52</v>
      </c>
      <c r="G210" t="str">
        <f>VLOOKUP(Table1[[#This Row],[ProductID]],Products!A:D,2)</f>
        <v>Product_34</v>
      </c>
      <c r="H210" t="str">
        <f>VLOOKUP(Table1[[#This Row],[ProductID]],Products!A:D,3)</f>
        <v>Sports</v>
      </c>
      <c r="I210">
        <f>VLOOKUP(Table1[[#This Row],[ProductID]],Products!$A:$D,4)</f>
        <v>243.63</v>
      </c>
      <c r="J210" t="str">
        <f>VLOOKUP(Table1[[#This Row],[CustomerID]],Customer_info!$A:$D,4)</f>
        <v>India</v>
      </c>
      <c r="K210">
        <f>Table1[[#This Row],[Quantity]]*Table1[[#This Row],[UnitPrice]]</f>
        <v>974.52</v>
      </c>
    </row>
    <row r="211" spans="1:11">
      <c r="A211" t="s">
        <v>353</v>
      </c>
      <c r="B211" s="1">
        <v>45309</v>
      </c>
      <c r="C211" t="s">
        <v>198</v>
      </c>
      <c r="D211" t="s">
        <v>114</v>
      </c>
      <c r="E211">
        <v>3</v>
      </c>
      <c r="F211">
        <v>681.39</v>
      </c>
      <c r="G211" t="str">
        <f>VLOOKUP(Table1[[#This Row],[ProductID]],Products!A:D,2)</f>
        <v>Product_18</v>
      </c>
      <c r="H211" t="str">
        <f>VLOOKUP(Table1[[#This Row],[ProductID]],Products!A:D,3)</f>
        <v>Electronics</v>
      </c>
      <c r="I211">
        <f>VLOOKUP(Table1[[#This Row],[ProductID]],Products!$A:$D,4)</f>
        <v>227.13</v>
      </c>
      <c r="J211" t="str">
        <f>VLOOKUP(Table1[[#This Row],[CustomerID]],Customer_info!$A:$D,4)</f>
        <v>UK</v>
      </c>
      <c r="K211">
        <f>Table1[[#This Row],[Quantity]]*Table1[[#This Row],[UnitPrice]]</f>
        <v>681.39</v>
      </c>
    </row>
    <row r="212" spans="1:11">
      <c r="A212" t="s">
        <v>354</v>
      </c>
      <c r="B212" s="1">
        <v>45457</v>
      </c>
      <c r="C212" t="s">
        <v>295</v>
      </c>
      <c r="D212" t="s">
        <v>72</v>
      </c>
      <c r="E212">
        <v>5</v>
      </c>
      <c r="F212">
        <v>1083.5999999999999</v>
      </c>
      <c r="G212" t="str">
        <f>VLOOKUP(Table1[[#This Row],[ProductID]],Products!A:D,2)</f>
        <v>Product_16</v>
      </c>
      <c r="H212" t="str">
        <f>VLOOKUP(Table1[[#This Row],[ProductID]],Products!A:D,3)</f>
        <v>Clothing</v>
      </c>
      <c r="I212">
        <f>VLOOKUP(Table1[[#This Row],[ProductID]],Products!$A:$D,4)</f>
        <v>216.72</v>
      </c>
      <c r="J212" t="str">
        <f>VLOOKUP(Table1[[#This Row],[CustomerID]],Customer_info!$A:$D,4)</f>
        <v>US</v>
      </c>
      <c r="K212">
        <f>Table1[[#This Row],[Quantity]]*Table1[[#This Row],[UnitPrice]]</f>
        <v>1083.5999999999999</v>
      </c>
    </row>
    <row r="213" spans="1:11">
      <c r="A213" t="s">
        <v>355</v>
      </c>
      <c r="B213" s="1">
        <v>45295</v>
      </c>
      <c r="C213" t="s">
        <v>202</v>
      </c>
      <c r="D213" t="s">
        <v>81</v>
      </c>
      <c r="E213">
        <v>3</v>
      </c>
      <c r="F213">
        <v>1299.8399999999999</v>
      </c>
      <c r="G213" t="str">
        <f>VLOOKUP(Table1[[#This Row],[ProductID]],Products!A:D,2)</f>
        <v>Product_10</v>
      </c>
      <c r="H213" t="str">
        <f>VLOOKUP(Table1[[#This Row],[ProductID]],Products!A:D,3)</f>
        <v>Beauty</v>
      </c>
      <c r="I213">
        <f>VLOOKUP(Table1[[#This Row],[ProductID]],Products!$A:$D,4)</f>
        <v>433.28</v>
      </c>
      <c r="J213" t="str">
        <f>VLOOKUP(Table1[[#This Row],[CustomerID]],Customer_info!$A:$D,4)</f>
        <v>India</v>
      </c>
      <c r="K213">
        <f>Table1[[#This Row],[Quantity]]*Table1[[#This Row],[UnitPrice]]</f>
        <v>1299.8399999999999</v>
      </c>
    </row>
    <row r="214" spans="1:11">
      <c r="A214" t="s">
        <v>356</v>
      </c>
      <c r="B214" s="1">
        <v>45417</v>
      </c>
      <c r="C214" t="s">
        <v>113</v>
      </c>
      <c r="D214" t="s">
        <v>148</v>
      </c>
      <c r="E214">
        <v>4</v>
      </c>
      <c r="F214">
        <v>1359.8</v>
      </c>
      <c r="G214" t="str">
        <f>VLOOKUP(Table1[[#This Row],[ProductID]],Products!A:D,2)</f>
        <v>Product_11</v>
      </c>
      <c r="H214" t="str">
        <f>VLOOKUP(Table1[[#This Row],[ProductID]],Products!A:D,3)</f>
        <v>Electronics</v>
      </c>
      <c r="I214">
        <f>VLOOKUP(Table1[[#This Row],[ProductID]],Products!$A:$D,4)</f>
        <v>339.95</v>
      </c>
      <c r="J214" t="str">
        <f>VLOOKUP(Table1[[#This Row],[CustomerID]],Customer_info!$A:$D,4)</f>
        <v>India</v>
      </c>
      <c r="K214">
        <f>Table1[[#This Row],[Quantity]]*Table1[[#This Row],[UnitPrice]]</f>
        <v>1359.8</v>
      </c>
    </row>
    <row r="215" spans="1:11">
      <c r="A215" t="s">
        <v>357</v>
      </c>
      <c r="B215" s="1">
        <v>45402</v>
      </c>
      <c r="C215" t="s">
        <v>358</v>
      </c>
      <c r="D215" t="s">
        <v>81</v>
      </c>
      <c r="E215">
        <v>1</v>
      </c>
      <c r="F215">
        <v>433.28</v>
      </c>
      <c r="G215" t="str">
        <f>VLOOKUP(Table1[[#This Row],[ProductID]],Products!A:D,2)</f>
        <v>Product_10</v>
      </c>
      <c r="H215" t="str">
        <f>VLOOKUP(Table1[[#This Row],[ProductID]],Products!A:D,3)</f>
        <v>Beauty</v>
      </c>
      <c r="I215">
        <f>VLOOKUP(Table1[[#This Row],[ProductID]],Products!$A:$D,4)</f>
        <v>433.28</v>
      </c>
      <c r="J215" t="str">
        <f>VLOOKUP(Table1[[#This Row],[CustomerID]],Customer_info!$A:$D,4)</f>
        <v>UK</v>
      </c>
      <c r="K215">
        <f>Table1[[#This Row],[Quantity]]*Table1[[#This Row],[UnitPrice]]</f>
        <v>433.28</v>
      </c>
    </row>
    <row r="216" spans="1:11">
      <c r="A216" t="s">
        <v>359</v>
      </c>
      <c r="B216" s="1">
        <v>45454</v>
      </c>
      <c r="C216" t="s">
        <v>128</v>
      </c>
      <c r="D216" t="s">
        <v>146</v>
      </c>
      <c r="E216">
        <v>3</v>
      </c>
      <c r="F216">
        <v>998.7</v>
      </c>
      <c r="G216" t="str">
        <f>VLOOKUP(Table1[[#This Row],[ProductID]],Products!A:D,2)</f>
        <v>Product_8</v>
      </c>
      <c r="H216" t="str">
        <f>VLOOKUP(Table1[[#This Row],[ProductID]],Products!A:D,3)</f>
        <v>Electronics</v>
      </c>
      <c r="I216">
        <f>VLOOKUP(Table1[[#This Row],[ProductID]],Products!$A:$D,4)</f>
        <v>332.9</v>
      </c>
      <c r="J216" t="str">
        <f>VLOOKUP(Table1[[#This Row],[CustomerID]],Customer_info!$A:$D,4)</f>
        <v>Canada</v>
      </c>
      <c r="K216">
        <f>Table1[[#This Row],[Quantity]]*Table1[[#This Row],[UnitPrice]]</f>
        <v>998.69999999999993</v>
      </c>
    </row>
    <row r="217" spans="1:11">
      <c r="A217" t="s">
        <v>360</v>
      </c>
      <c r="B217" s="1">
        <v>45331</v>
      </c>
      <c r="C217" t="s">
        <v>113</v>
      </c>
      <c r="D217" t="s">
        <v>132</v>
      </c>
      <c r="E217">
        <v>4</v>
      </c>
      <c r="F217">
        <v>1351.2</v>
      </c>
      <c r="G217" t="str">
        <f>VLOOKUP(Table1[[#This Row],[ProductID]],Products!A:D,2)</f>
        <v>Product_3</v>
      </c>
      <c r="H217" t="str">
        <f>VLOOKUP(Table1[[#This Row],[ProductID]],Products!A:D,3)</f>
        <v>Home</v>
      </c>
      <c r="I217">
        <f>VLOOKUP(Table1[[#This Row],[ProductID]],Products!$A:$D,4)</f>
        <v>337.8</v>
      </c>
      <c r="J217" t="str">
        <f>VLOOKUP(Table1[[#This Row],[CustomerID]],Customer_info!$A:$D,4)</f>
        <v>India</v>
      </c>
      <c r="K217">
        <f>Table1[[#This Row],[Quantity]]*Table1[[#This Row],[UnitPrice]]</f>
        <v>1351.2</v>
      </c>
    </row>
    <row r="218" spans="1:11">
      <c r="A218" t="s">
        <v>361</v>
      </c>
      <c r="B218" s="1">
        <v>45337</v>
      </c>
      <c r="C218" t="s">
        <v>185</v>
      </c>
      <c r="D218" t="s">
        <v>38</v>
      </c>
      <c r="E218">
        <v>4</v>
      </c>
      <c r="F218">
        <v>1337.28</v>
      </c>
      <c r="G218" t="str">
        <f>VLOOKUP(Table1[[#This Row],[ProductID]],Products!A:D,2)</f>
        <v>Product_28</v>
      </c>
      <c r="H218" t="str">
        <f>VLOOKUP(Table1[[#This Row],[ProductID]],Products!A:D,3)</f>
        <v>Sports</v>
      </c>
      <c r="I218">
        <f>VLOOKUP(Table1[[#This Row],[ProductID]],Products!$A:$D,4)</f>
        <v>334.32</v>
      </c>
      <c r="J218" t="str">
        <f>VLOOKUP(Table1[[#This Row],[CustomerID]],Customer_info!$A:$D,4)</f>
        <v>India</v>
      </c>
      <c r="K218">
        <f>Table1[[#This Row],[Quantity]]*Table1[[#This Row],[UnitPrice]]</f>
        <v>1337.28</v>
      </c>
    </row>
    <row r="219" spans="1:11">
      <c r="A219" t="s">
        <v>362</v>
      </c>
      <c r="B219" s="1">
        <v>45458</v>
      </c>
      <c r="C219" t="s">
        <v>363</v>
      </c>
      <c r="D219" t="s">
        <v>114</v>
      </c>
      <c r="E219">
        <v>5</v>
      </c>
      <c r="F219">
        <v>1135.6500000000001</v>
      </c>
      <c r="G219" t="str">
        <f>VLOOKUP(Table1[[#This Row],[ProductID]],Products!A:D,2)</f>
        <v>Product_18</v>
      </c>
      <c r="H219" t="str">
        <f>VLOOKUP(Table1[[#This Row],[ProductID]],Products!A:D,3)</f>
        <v>Electronics</v>
      </c>
      <c r="I219">
        <f>VLOOKUP(Table1[[#This Row],[ProductID]],Products!$A:$D,4)</f>
        <v>227.13</v>
      </c>
      <c r="J219" t="str">
        <f>VLOOKUP(Table1[[#This Row],[CustomerID]],Customer_info!$A:$D,4)</f>
        <v>India</v>
      </c>
      <c r="K219">
        <f>Table1[[#This Row],[Quantity]]*Table1[[#This Row],[UnitPrice]]</f>
        <v>1135.6500000000001</v>
      </c>
    </row>
    <row r="220" spans="1:11">
      <c r="A220" t="s">
        <v>364</v>
      </c>
      <c r="B220" s="1">
        <v>45449</v>
      </c>
      <c r="C220" t="s">
        <v>172</v>
      </c>
      <c r="D220" t="s">
        <v>108</v>
      </c>
      <c r="E220">
        <v>3</v>
      </c>
      <c r="F220">
        <v>147.75</v>
      </c>
      <c r="G220" t="str">
        <f>VLOOKUP(Table1[[#This Row],[ProductID]],Products!A:D,2)</f>
        <v>Product_36</v>
      </c>
      <c r="H220" t="str">
        <f>VLOOKUP(Table1[[#This Row],[ProductID]],Products!A:D,3)</f>
        <v>Sports</v>
      </c>
      <c r="I220">
        <f>VLOOKUP(Table1[[#This Row],[ProductID]],Products!$A:$D,4)</f>
        <v>49.25</v>
      </c>
      <c r="J220" t="str">
        <f>VLOOKUP(Table1[[#This Row],[CustomerID]],Customer_info!$A:$D,4)</f>
        <v>Canada</v>
      </c>
      <c r="K220">
        <f>Table1[[#This Row],[Quantity]]*Table1[[#This Row],[UnitPrice]]</f>
        <v>147.75</v>
      </c>
    </row>
    <row r="221" spans="1:11">
      <c r="A221" t="s">
        <v>365</v>
      </c>
      <c r="B221" s="1">
        <v>45415</v>
      </c>
      <c r="C221" t="s">
        <v>264</v>
      </c>
      <c r="D221" t="s">
        <v>114</v>
      </c>
      <c r="E221">
        <v>5</v>
      </c>
      <c r="F221">
        <v>1135.6500000000001</v>
      </c>
      <c r="G221" t="str">
        <f>VLOOKUP(Table1[[#This Row],[ProductID]],Products!A:D,2)</f>
        <v>Product_18</v>
      </c>
      <c r="H221" t="str">
        <f>VLOOKUP(Table1[[#This Row],[ProductID]],Products!A:D,3)</f>
        <v>Electronics</v>
      </c>
      <c r="I221">
        <f>VLOOKUP(Table1[[#This Row],[ProductID]],Products!$A:$D,4)</f>
        <v>227.13</v>
      </c>
      <c r="J221" t="str">
        <f>VLOOKUP(Table1[[#This Row],[CustomerID]],Customer_info!$A:$D,4)</f>
        <v>Canada</v>
      </c>
      <c r="K221">
        <f>Table1[[#This Row],[Quantity]]*Table1[[#This Row],[UnitPrice]]</f>
        <v>1135.6500000000001</v>
      </c>
    </row>
    <row r="222" spans="1:11">
      <c r="A222" t="s">
        <v>366</v>
      </c>
      <c r="B222" s="1">
        <v>45403</v>
      </c>
      <c r="C222" t="s">
        <v>367</v>
      </c>
      <c r="D222" t="s">
        <v>114</v>
      </c>
      <c r="E222">
        <v>4</v>
      </c>
      <c r="F222">
        <v>908.52</v>
      </c>
      <c r="G222" t="str">
        <f>VLOOKUP(Table1[[#This Row],[ProductID]],Products!A:D,2)</f>
        <v>Product_18</v>
      </c>
      <c r="H222" t="str">
        <f>VLOOKUP(Table1[[#This Row],[ProductID]],Products!A:D,3)</f>
        <v>Electronics</v>
      </c>
      <c r="I222">
        <f>VLOOKUP(Table1[[#This Row],[ProductID]],Products!$A:$D,4)</f>
        <v>227.13</v>
      </c>
      <c r="J222" t="str">
        <f>VLOOKUP(Table1[[#This Row],[CustomerID]],Customer_info!$A:$D,4)</f>
        <v>India</v>
      </c>
      <c r="K222">
        <f>Table1[[#This Row],[Quantity]]*Table1[[#This Row],[UnitPrice]]</f>
        <v>908.52</v>
      </c>
    </row>
    <row r="223" spans="1:11">
      <c r="A223" t="s">
        <v>368</v>
      </c>
      <c r="B223" s="1">
        <v>45360</v>
      </c>
      <c r="C223" t="s">
        <v>310</v>
      </c>
      <c r="D223" t="s">
        <v>63</v>
      </c>
      <c r="E223">
        <v>5</v>
      </c>
      <c r="F223">
        <v>289.89999999999998</v>
      </c>
      <c r="G223" t="str">
        <f>VLOOKUP(Table1[[#This Row],[ProductID]],Products!A:D,2)</f>
        <v>Product_19</v>
      </c>
      <c r="H223" t="str">
        <f>VLOOKUP(Table1[[#This Row],[ProductID]],Products!A:D,3)</f>
        <v>Sports</v>
      </c>
      <c r="I223">
        <f>VLOOKUP(Table1[[#This Row],[ProductID]],Products!$A:$D,4)</f>
        <v>57.98</v>
      </c>
      <c r="J223" t="str">
        <f>VLOOKUP(Table1[[#This Row],[CustomerID]],Customer_info!$A:$D,4)</f>
        <v>US</v>
      </c>
      <c r="K223">
        <f>Table1[[#This Row],[Quantity]]*Table1[[#This Row],[UnitPrice]]</f>
        <v>289.89999999999998</v>
      </c>
    </row>
    <row r="224" spans="1:11">
      <c r="A224" t="s">
        <v>369</v>
      </c>
      <c r="B224" s="1">
        <v>45354</v>
      </c>
      <c r="C224" t="s">
        <v>307</v>
      </c>
      <c r="D224" t="s">
        <v>114</v>
      </c>
      <c r="E224">
        <v>3</v>
      </c>
      <c r="F224">
        <v>681.39</v>
      </c>
      <c r="G224" t="str">
        <f>VLOOKUP(Table1[[#This Row],[ProductID]],Products!A:D,2)</f>
        <v>Product_18</v>
      </c>
      <c r="H224" t="str">
        <f>VLOOKUP(Table1[[#This Row],[ProductID]],Products!A:D,3)</f>
        <v>Electronics</v>
      </c>
      <c r="I224">
        <f>VLOOKUP(Table1[[#This Row],[ProductID]],Products!$A:$D,4)</f>
        <v>227.13</v>
      </c>
      <c r="J224" t="str">
        <f>VLOOKUP(Table1[[#This Row],[CustomerID]],Customer_info!$A:$D,4)</f>
        <v>Canada</v>
      </c>
      <c r="K224">
        <f>Table1[[#This Row],[Quantity]]*Table1[[#This Row],[UnitPrice]]</f>
        <v>681.39</v>
      </c>
    </row>
    <row r="225" spans="1:11">
      <c r="A225" t="s">
        <v>370</v>
      </c>
      <c r="B225" s="1">
        <v>45363</v>
      </c>
      <c r="C225" t="s">
        <v>111</v>
      </c>
      <c r="D225" t="s">
        <v>103</v>
      </c>
      <c r="E225">
        <v>1</v>
      </c>
      <c r="F225">
        <v>139.94999999999999</v>
      </c>
      <c r="G225" t="str">
        <f>VLOOKUP(Table1[[#This Row],[ProductID]],Products!A:D,2)</f>
        <v>Product_26</v>
      </c>
      <c r="H225" t="str">
        <f>VLOOKUP(Table1[[#This Row],[ProductID]],Products!A:D,3)</f>
        <v>Beauty</v>
      </c>
      <c r="I225">
        <f>VLOOKUP(Table1[[#This Row],[ProductID]],Products!$A:$D,4)</f>
        <v>139.94999999999999</v>
      </c>
      <c r="J225" t="str">
        <f>VLOOKUP(Table1[[#This Row],[CustomerID]],Customer_info!$A:$D,4)</f>
        <v>UK</v>
      </c>
      <c r="K225">
        <f>Table1[[#This Row],[Quantity]]*Table1[[#This Row],[UnitPrice]]</f>
        <v>139.94999999999999</v>
      </c>
    </row>
    <row r="226" spans="1:11">
      <c r="A226" t="s">
        <v>371</v>
      </c>
      <c r="B226" s="1">
        <v>45354</v>
      </c>
      <c r="C226" t="s">
        <v>135</v>
      </c>
      <c r="D226" t="s">
        <v>49</v>
      </c>
      <c r="E226">
        <v>4</v>
      </c>
      <c r="F226">
        <v>1175.2</v>
      </c>
      <c r="G226" t="str">
        <f>VLOOKUP(Table1[[#This Row],[ProductID]],Products!A:D,2)</f>
        <v>Product_31</v>
      </c>
      <c r="H226" t="str">
        <f>VLOOKUP(Table1[[#This Row],[ProductID]],Products!A:D,3)</f>
        <v>Electronics</v>
      </c>
      <c r="I226">
        <f>VLOOKUP(Table1[[#This Row],[ProductID]],Products!$A:$D,4)</f>
        <v>293.8</v>
      </c>
      <c r="J226" t="str">
        <f>VLOOKUP(Table1[[#This Row],[CustomerID]],Customer_info!$A:$D,4)</f>
        <v>India</v>
      </c>
      <c r="K226">
        <f>Table1[[#This Row],[Quantity]]*Table1[[#This Row],[UnitPrice]]</f>
        <v>1175.2</v>
      </c>
    </row>
    <row r="227" spans="1:11">
      <c r="A227" t="s">
        <v>372</v>
      </c>
      <c r="B227" s="1">
        <v>45437</v>
      </c>
      <c r="C227" t="s">
        <v>32</v>
      </c>
      <c r="D227" t="s">
        <v>20</v>
      </c>
      <c r="E227">
        <v>4</v>
      </c>
      <c r="F227">
        <v>831.4</v>
      </c>
      <c r="G227" t="str">
        <f>VLOOKUP(Table1[[#This Row],[ProductID]],Products!A:D,2)</f>
        <v>Product_39</v>
      </c>
      <c r="H227" t="str">
        <f>VLOOKUP(Table1[[#This Row],[ProductID]],Products!A:D,3)</f>
        <v>Clothing</v>
      </c>
      <c r="I227">
        <f>VLOOKUP(Table1[[#This Row],[ProductID]],Products!$A:$D,4)</f>
        <v>207.85</v>
      </c>
      <c r="J227" t="str">
        <f>VLOOKUP(Table1[[#This Row],[CustomerID]],Customer_info!$A:$D,4)</f>
        <v>UK</v>
      </c>
      <c r="K227">
        <f>Table1[[#This Row],[Quantity]]*Table1[[#This Row],[UnitPrice]]</f>
        <v>831.4</v>
      </c>
    </row>
    <row r="228" spans="1:11">
      <c r="A228" t="s">
        <v>373</v>
      </c>
      <c r="B228" s="1">
        <v>45463</v>
      </c>
      <c r="C228" t="s">
        <v>139</v>
      </c>
      <c r="D228" t="s">
        <v>72</v>
      </c>
      <c r="E228">
        <v>5</v>
      </c>
      <c r="F228">
        <v>1083.5999999999999</v>
      </c>
      <c r="G228" t="str">
        <f>VLOOKUP(Table1[[#This Row],[ProductID]],Products!A:D,2)</f>
        <v>Product_16</v>
      </c>
      <c r="H228" t="str">
        <f>VLOOKUP(Table1[[#This Row],[ProductID]],Products!A:D,3)</f>
        <v>Clothing</v>
      </c>
      <c r="I228">
        <f>VLOOKUP(Table1[[#This Row],[ProductID]],Products!$A:$D,4)</f>
        <v>216.72</v>
      </c>
      <c r="J228" t="str">
        <f>VLOOKUP(Table1[[#This Row],[CustomerID]],Customer_info!$A:$D,4)</f>
        <v>US</v>
      </c>
      <c r="K228">
        <f>Table1[[#This Row],[Quantity]]*Table1[[#This Row],[UnitPrice]]</f>
        <v>1083.5999999999999</v>
      </c>
    </row>
    <row r="229" spans="1:11">
      <c r="A229" t="s">
        <v>374</v>
      </c>
      <c r="B229" s="1">
        <v>45378</v>
      </c>
      <c r="C229" t="s">
        <v>128</v>
      </c>
      <c r="D229" t="s">
        <v>132</v>
      </c>
      <c r="E229">
        <v>4</v>
      </c>
      <c r="F229">
        <v>1351.2</v>
      </c>
      <c r="G229" t="str">
        <f>VLOOKUP(Table1[[#This Row],[ProductID]],Products!A:D,2)</f>
        <v>Product_3</v>
      </c>
      <c r="H229" t="str">
        <f>VLOOKUP(Table1[[#This Row],[ProductID]],Products!A:D,3)</f>
        <v>Home</v>
      </c>
      <c r="I229">
        <f>VLOOKUP(Table1[[#This Row],[ProductID]],Products!$A:$D,4)</f>
        <v>337.8</v>
      </c>
      <c r="J229" t="str">
        <f>VLOOKUP(Table1[[#This Row],[CustomerID]],Customer_info!$A:$D,4)</f>
        <v>Canada</v>
      </c>
      <c r="K229">
        <f>Table1[[#This Row],[Quantity]]*Table1[[#This Row],[UnitPrice]]</f>
        <v>1351.2</v>
      </c>
    </row>
    <row r="230" spans="1:11">
      <c r="A230" t="s">
        <v>375</v>
      </c>
      <c r="B230" s="1">
        <v>45418</v>
      </c>
      <c r="C230" t="s">
        <v>312</v>
      </c>
      <c r="D230" t="s">
        <v>52</v>
      </c>
      <c r="E230">
        <v>1</v>
      </c>
      <c r="F230">
        <v>85.85</v>
      </c>
      <c r="G230" t="str">
        <f>VLOOKUP(Table1[[#This Row],[ProductID]],Products!A:D,2)</f>
        <v>Product_29</v>
      </c>
      <c r="H230" t="str">
        <f>VLOOKUP(Table1[[#This Row],[ProductID]],Products!A:D,3)</f>
        <v>Beauty</v>
      </c>
      <c r="I230">
        <f>VLOOKUP(Table1[[#This Row],[ProductID]],Products!$A:$D,4)</f>
        <v>85.85</v>
      </c>
      <c r="J230" t="str">
        <f>VLOOKUP(Table1[[#This Row],[CustomerID]],Customer_info!$A:$D,4)</f>
        <v>UK</v>
      </c>
      <c r="K230">
        <f>Table1[[#This Row],[Quantity]]*Table1[[#This Row],[UnitPrice]]</f>
        <v>85.85</v>
      </c>
    </row>
    <row r="231" spans="1:11">
      <c r="A231" t="s">
        <v>376</v>
      </c>
      <c r="B231" s="1">
        <v>45338</v>
      </c>
      <c r="C231" t="s">
        <v>377</v>
      </c>
      <c r="D231" t="s">
        <v>122</v>
      </c>
      <c r="E231">
        <v>3</v>
      </c>
      <c r="F231">
        <v>261.42</v>
      </c>
      <c r="G231" t="str">
        <f>VLOOKUP(Table1[[#This Row],[ProductID]],Products!A:D,2)</f>
        <v>Product_35</v>
      </c>
      <c r="H231" t="str">
        <f>VLOOKUP(Table1[[#This Row],[ProductID]],Products!A:D,3)</f>
        <v>Sports</v>
      </c>
      <c r="I231">
        <f>VLOOKUP(Table1[[#This Row],[ProductID]],Products!$A:$D,4)</f>
        <v>87.14</v>
      </c>
      <c r="J231" t="str">
        <f>VLOOKUP(Table1[[#This Row],[CustomerID]],Customer_info!$A:$D,4)</f>
        <v>US</v>
      </c>
      <c r="K231">
        <f>Table1[[#This Row],[Quantity]]*Table1[[#This Row],[UnitPrice]]</f>
        <v>261.42</v>
      </c>
    </row>
    <row r="232" spans="1:11">
      <c r="A232" t="s">
        <v>378</v>
      </c>
      <c r="B232" s="1">
        <v>45346</v>
      </c>
      <c r="C232" t="s">
        <v>241</v>
      </c>
      <c r="D232" t="s">
        <v>98</v>
      </c>
      <c r="E232">
        <v>4</v>
      </c>
      <c r="F232">
        <v>527.36</v>
      </c>
      <c r="G232" t="str">
        <f>VLOOKUP(Table1[[#This Row],[ProductID]],Products!A:D,2)</f>
        <v>Product_14</v>
      </c>
      <c r="H232" t="str">
        <f>VLOOKUP(Table1[[#This Row],[ProductID]],Products!A:D,3)</f>
        <v>Electronics</v>
      </c>
      <c r="I232">
        <f>VLOOKUP(Table1[[#This Row],[ProductID]],Products!$A:$D,4)</f>
        <v>131.84</v>
      </c>
      <c r="J232" t="str">
        <f>VLOOKUP(Table1[[#This Row],[CustomerID]],Customer_info!$A:$D,4)</f>
        <v>US</v>
      </c>
      <c r="K232">
        <f>Table1[[#This Row],[Quantity]]*Table1[[#This Row],[UnitPrice]]</f>
        <v>527.36</v>
      </c>
    </row>
    <row r="233" spans="1:11">
      <c r="A233" t="s">
        <v>379</v>
      </c>
      <c r="B233" s="1">
        <v>45358</v>
      </c>
      <c r="C233" t="s">
        <v>377</v>
      </c>
      <c r="D233" t="s">
        <v>124</v>
      </c>
      <c r="E233">
        <v>3</v>
      </c>
      <c r="F233">
        <v>119.1</v>
      </c>
      <c r="G233" t="str">
        <f>VLOOKUP(Table1[[#This Row],[ProductID]],Products!A:D,2)</f>
        <v>Product_12</v>
      </c>
      <c r="H233" t="str">
        <f>VLOOKUP(Table1[[#This Row],[ProductID]],Products!A:D,3)</f>
        <v>Electronics</v>
      </c>
      <c r="I233">
        <f>VLOOKUP(Table1[[#This Row],[ProductID]],Products!$A:$D,4)</f>
        <v>39.700000000000003</v>
      </c>
      <c r="J233" t="str">
        <f>VLOOKUP(Table1[[#This Row],[CustomerID]],Customer_info!$A:$D,4)</f>
        <v>US</v>
      </c>
      <c r="K233">
        <f>Table1[[#This Row],[Quantity]]*Table1[[#This Row],[UnitPrice]]</f>
        <v>119.10000000000001</v>
      </c>
    </row>
    <row r="234" spans="1:11">
      <c r="A234" t="s">
        <v>380</v>
      </c>
      <c r="B234" s="1">
        <v>45363</v>
      </c>
      <c r="C234" t="s">
        <v>141</v>
      </c>
      <c r="D234" t="s">
        <v>160</v>
      </c>
      <c r="E234">
        <v>3</v>
      </c>
      <c r="F234">
        <v>130.74</v>
      </c>
      <c r="G234" t="str">
        <f>VLOOKUP(Table1[[#This Row],[ProductID]],Products!A:D,2)</f>
        <v>Product_37</v>
      </c>
      <c r="H234" t="str">
        <f>VLOOKUP(Table1[[#This Row],[ProductID]],Products!A:D,3)</f>
        <v>Clothing</v>
      </c>
      <c r="I234">
        <f>VLOOKUP(Table1[[#This Row],[ProductID]],Products!$A:$D,4)</f>
        <v>43.58</v>
      </c>
      <c r="J234" t="str">
        <f>VLOOKUP(Table1[[#This Row],[CustomerID]],Customer_info!$A:$D,4)</f>
        <v>India</v>
      </c>
      <c r="K234">
        <f>Table1[[#This Row],[Quantity]]*Table1[[#This Row],[UnitPrice]]</f>
        <v>130.74</v>
      </c>
    </row>
    <row r="235" spans="1:11">
      <c r="A235" t="s">
        <v>381</v>
      </c>
      <c r="B235" s="1">
        <v>45471</v>
      </c>
      <c r="C235" t="s">
        <v>87</v>
      </c>
      <c r="D235" t="s">
        <v>44</v>
      </c>
      <c r="E235">
        <v>5</v>
      </c>
      <c r="F235">
        <v>1363.9</v>
      </c>
      <c r="G235" t="str">
        <f>VLOOKUP(Table1[[#This Row],[ProductID]],Products!A:D,2)</f>
        <v>Product_15</v>
      </c>
      <c r="H235" t="str">
        <f>VLOOKUP(Table1[[#This Row],[ProductID]],Products!A:D,3)</f>
        <v>Clothing</v>
      </c>
      <c r="I235">
        <f>VLOOKUP(Table1[[#This Row],[ProductID]],Products!$A:$D,4)</f>
        <v>272.77999999999997</v>
      </c>
      <c r="J235" t="str">
        <f>VLOOKUP(Table1[[#This Row],[CustomerID]],Customer_info!$A:$D,4)</f>
        <v>UK</v>
      </c>
      <c r="K235">
        <f>Table1[[#This Row],[Quantity]]*Table1[[#This Row],[UnitPrice]]</f>
        <v>1363.8999999999999</v>
      </c>
    </row>
    <row r="236" spans="1:11">
      <c r="A236" t="s">
        <v>382</v>
      </c>
      <c r="B236" s="1">
        <v>45434</v>
      </c>
      <c r="C236" t="s">
        <v>302</v>
      </c>
      <c r="D236" t="s">
        <v>44</v>
      </c>
      <c r="E236">
        <v>3</v>
      </c>
      <c r="F236">
        <v>818.34</v>
      </c>
      <c r="G236" t="str">
        <f>VLOOKUP(Table1[[#This Row],[ProductID]],Products!A:D,2)</f>
        <v>Product_15</v>
      </c>
      <c r="H236" t="str">
        <f>VLOOKUP(Table1[[#This Row],[ProductID]],Products!A:D,3)</f>
        <v>Clothing</v>
      </c>
      <c r="I236">
        <f>VLOOKUP(Table1[[#This Row],[ProductID]],Products!$A:$D,4)</f>
        <v>272.77999999999997</v>
      </c>
      <c r="J236" t="str">
        <f>VLOOKUP(Table1[[#This Row],[CustomerID]],Customer_info!$A:$D,4)</f>
        <v>US</v>
      </c>
      <c r="K236">
        <f>Table1[[#This Row],[Quantity]]*Table1[[#This Row],[UnitPrice]]</f>
        <v>818.33999999999992</v>
      </c>
    </row>
    <row r="237" spans="1:11">
      <c r="A237" t="s">
        <v>383</v>
      </c>
      <c r="B237" s="1">
        <v>45424</v>
      </c>
      <c r="C237" t="s">
        <v>384</v>
      </c>
      <c r="D237" t="s">
        <v>17</v>
      </c>
      <c r="E237">
        <v>1</v>
      </c>
      <c r="F237">
        <v>394.46</v>
      </c>
      <c r="G237" t="str">
        <f>VLOOKUP(Table1[[#This Row],[ProductID]],Products!A:D,2)</f>
        <v>Product_6</v>
      </c>
      <c r="H237" t="str">
        <f>VLOOKUP(Table1[[#This Row],[ProductID]],Products!A:D,3)</f>
        <v>Clothing</v>
      </c>
      <c r="I237">
        <f>VLOOKUP(Table1[[#This Row],[ProductID]],Products!$A:$D,4)</f>
        <v>394.46</v>
      </c>
      <c r="J237" t="str">
        <f>VLOOKUP(Table1[[#This Row],[CustomerID]],Customer_info!$A:$D,4)</f>
        <v>India</v>
      </c>
      <c r="K237">
        <f>Table1[[#This Row],[Quantity]]*Table1[[#This Row],[UnitPrice]]</f>
        <v>394.46</v>
      </c>
    </row>
    <row r="238" spans="1:11">
      <c r="A238" t="s">
        <v>385</v>
      </c>
      <c r="B238" s="1">
        <v>45313</v>
      </c>
      <c r="C238" t="s">
        <v>258</v>
      </c>
      <c r="D238" t="s">
        <v>20</v>
      </c>
      <c r="E238">
        <v>2</v>
      </c>
      <c r="F238">
        <v>415.7</v>
      </c>
      <c r="G238" t="str">
        <f>VLOOKUP(Table1[[#This Row],[ProductID]],Products!A:D,2)</f>
        <v>Product_39</v>
      </c>
      <c r="H238" t="str">
        <f>VLOOKUP(Table1[[#This Row],[ProductID]],Products!A:D,3)</f>
        <v>Clothing</v>
      </c>
      <c r="I238">
        <f>VLOOKUP(Table1[[#This Row],[ProductID]],Products!$A:$D,4)</f>
        <v>207.85</v>
      </c>
      <c r="J238" t="str">
        <f>VLOOKUP(Table1[[#This Row],[CustomerID]],Customer_info!$A:$D,4)</f>
        <v>Canada</v>
      </c>
      <c r="K238">
        <f>Table1[[#This Row],[Quantity]]*Table1[[#This Row],[UnitPrice]]</f>
        <v>415.7</v>
      </c>
    </row>
    <row r="239" spans="1:11">
      <c r="A239" t="s">
        <v>386</v>
      </c>
      <c r="B239" s="1">
        <v>45396</v>
      </c>
      <c r="C239" t="s">
        <v>13</v>
      </c>
      <c r="D239" t="s">
        <v>49</v>
      </c>
      <c r="E239">
        <v>2</v>
      </c>
      <c r="F239">
        <v>587.6</v>
      </c>
      <c r="G239" t="str">
        <f>VLOOKUP(Table1[[#This Row],[ProductID]],Products!A:D,2)</f>
        <v>Product_31</v>
      </c>
      <c r="H239" t="str">
        <f>VLOOKUP(Table1[[#This Row],[ProductID]],Products!A:D,3)</f>
        <v>Electronics</v>
      </c>
      <c r="I239">
        <f>VLOOKUP(Table1[[#This Row],[ProductID]],Products!$A:$D,4)</f>
        <v>293.8</v>
      </c>
      <c r="J239" t="str">
        <f>VLOOKUP(Table1[[#This Row],[CustomerID]],Customer_info!$A:$D,4)</f>
        <v>Canada</v>
      </c>
      <c r="K239">
        <f>Table1[[#This Row],[Quantity]]*Table1[[#This Row],[UnitPrice]]</f>
        <v>587.6</v>
      </c>
    </row>
    <row r="240" spans="1:11">
      <c r="A240" t="s">
        <v>387</v>
      </c>
      <c r="B240" s="1">
        <v>45434</v>
      </c>
      <c r="C240" t="s">
        <v>388</v>
      </c>
      <c r="D240" t="s">
        <v>41</v>
      </c>
      <c r="E240">
        <v>4</v>
      </c>
      <c r="F240">
        <v>152.04</v>
      </c>
      <c r="G240" t="str">
        <f>VLOOKUP(Table1[[#This Row],[ProductID]],Products!A:D,2)</f>
        <v>Product_33</v>
      </c>
      <c r="H240" t="str">
        <f>VLOOKUP(Table1[[#This Row],[ProductID]],Products!A:D,3)</f>
        <v>Home</v>
      </c>
      <c r="I240">
        <f>VLOOKUP(Table1[[#This Row],[ProductID]],Products!$A:$D,4)</f>
        <v>38.01</v>
      </c>
      <c r="J240" t="str">
        <f>VLOOKUP(Table1[[#This Row],[CustomerID]],Customer_info!$A:$D,4)</f>
        <v>India</v>
      </c>
      <c r="K240">
        <f>Table1[[#This Row],[Quantity]]*Table1[[#This Row],[UnitPrice]]</f>
        <v>152.04</v>
      </c>
    </row>
    <row r="241" spans="1:11">
      <c r="A241" t="s">
        <v>389</v>
      </c>
      <c r="B241" s="1">
        <v>45468</v>
      </c>
      <c r="C241" t="s">
        <v>245</v>
      </c>
      <c r="D241" t="s">
        <v>196</v>
      </c>
      <c r="E241">
        <v>2</v>
      </c>
      <c r="F241">
        <v>491.74</v>
      </c>
      <c r="G241" t="str">
        <f>VLOOKUP(Table1[[#This Row],[ProductID]],Products!A:D,2)</f>
        <v>Product_23</v>
      </c>
      <c r="H241" t="str">
        <f>VLOOKUP(Table1[[#This Row],[ProductID]],Products!A:D,3)</f>
        <v>Beauty</v>
      </c>
      <c r="I241">
        <f>VLOOKUP(Table1[[#This Row],[ProductID]],Products!$A:$D,4)</f>
        <v>245.87</v>
      </c>
      <c r="J241" t="str">
        <f>VLOOKUP(Table1[[#This Row],[CustomerID]],Customer_info!$A:$D,4)</f>
        <v>UK</v>
      </c>
      <c r="K241">
        <f>Table1[[#This Row],[Quantity]]*Table1[[#This Row],[UnitPrice]]</f>
        <v>491.74</v>
      </c>
    </row>
    <row r="242" spans="1:11">
      <c r="A242" t="s">
        <v>390</v>
      </c>
      <c r="B242" s="1">
        <v>45457</v>
      </c>
      <c r="C242" t="s">
        <v>391</v>
      </c>
      <c r="D242" t="s">
        <v>132</v>
      </c>
      <c r="E242">
        <v>4</v>
      </c>
      <c r="F242">
        <v>1351.2</v>
      </c>
      <c r="G242" t="str">
        <f>VLOOKUP(Table1[[#This Row],[ProductID]],Products!A:D,2)</f>
        <v>Product_3</v>
      </c>
      <c r="H242" t="str">
        <f>VLOOKUP(Table1[[#This Row],[ProductID]],Products!A:D,3)</f>
        <v>Home</v>
      </c>
      <c r="I242">
        <f>VLOOKUP(Table1[[#This Row],[ProductID]],Products!$A:$D,4)</f>
        <v>337.8</v>
      </c>
      <c r="J242" t="str">
        <f>VLOOKUP(Table1[[#This Row],[CustomerID]],Customer_info!$A:$D,4)</f>
        <v>UK</v>
      </c>
      <c r="K242">
        <f>Table1[[#This Row],[Quantity]]*Table1[[#This Row],[UnitPrice]]</f>
        <v>1351.2</v>
      </c>
    </row>
    <row r="243" spans="1:11">
      <c r="A243" t="s">
        <v>392</v>
      </c>
      <c r="B243" s="1">
        <v>45406</v>
      </c>
      <c r="C243" t="s">
        <v>233</v>
      </c>
      <c r="D243" t="s">
        <v>23</v>
      </c>
      <c r="E243">
        <v>4</v>
      </c>
      <c r="F243">
        <v>413.2</v>
      </c>
      <c r="G243" t="str">
        <f>VLOOKUP(Table1[[#This Row],[ProductID]],Products!A:D,2)</f>
        <v>Product_7</v>
      </c>
      <c r="H243" t="str">
        <f>VLOOKUP(Table1[[#This Row],[ProductID]],Products!A:D,3)</f>
        <v>Beauty</v>
      </c>
      <c r="I243">
        <f>VLOOKUP(Table1[[#This Row],[ProductID]],Products!$A:$D,4)</f>
        <v>103.3</v>
      </c>
      <c r="J243" t="str">
        <f>VLOOKUP(Table1[[#This Row],[CustomerID]],Customer_info!$A:$D,4)</f>
        <v>India</v>
      </c>
      <c r="K243">
        <f>Table1[[#This Row],[Quantity]]*Table1[[#This Row],[UnitPrice]]</f>
        <v>413.2</v>
      </c>
    </row>
    <row r="244" spans="1:11">
      <c r="A244" t="s">
        <v>393</v>
      </c>
      <c r="B244" s="1">
        <v>45315</v>
      </c>
      <c r="C244" t="s">
        <v>43</v>
      </c>
      <c r="D244" t="s">
        <v>103</v>
      </c>
      <c r="E244">
        <v>1</v>
      </c>
      <c r="F244">
        <v>139.94999999999999</v>
      </c>
      <c r="G244" t="str">
        <f>VLOOKUP(Table1[[#This Row],[ProductID]],Products!A:D,2)</f>
        <v>Product_26</v>
      </c>
      <c r="H244" t="str">
        <f>VLOOKUP(Table1[[#This Row],[ProductID]],Products!A:D,3)</f>
        <v>Beauty</v>
      </c>
      <c r="I244">
        <f>VLOOKUP(Table1[[#This Row],[ProductID]],Products!$A:$D,4)</f>
        <v>139.94999999999999</v>
      </c>
      <c r="J244" t="str">
        <f>VLOOKUP(Table1[[#This Row],[CustomerID]],Customer_info!$A:$D,4)</f>
        <v>US</v>
      </c>
      <c r="K244">
        <f>Table1[[#This Row],[Quantity]]*Table1[[#This Row],[UnitPrice]]</f>
        <v>139.94999999999999</v>
      </c>
    </row>
    <row r="245" spans="1:11">
      <c r="A245" t="s">
        <v>394</v>
      </c>
      <c r="B245" s="1">
        <v>45348</v>
      </c>
      <c r="C245" t="s">
        <v>334</v>
      </c>
      <c r="D245" t="s">
        <v>129</v>
      </c>
      <c r="E245">
        <v>3</v>
      </c>
      <c r="F245">
        <v>350.01</v>
      </c>
      <c r="G245" t="str">
        <f>VLOOKUP(Table1[[#This Row],[ProductID]],Products!A:D,2)</f>
        <v>Product_30</v>
      </c>
      <c r="H245" t="str">
        <f>VLOOKUP(Table1[[#This Row],[ProductID]],Products!A:D,3)</f>
        <v>Home</v>
      </c>
      <c r="I245">
        <f>VLOOKUP(Table1[[#This Row],[ProductID]],Products!$A:$D,4)</f>
        <v>116.67</v>
      </c>
      <c r="J245" t="str">
        <f>VLOOKUP(Table1[[#This Row],[CustomerID]],Customer_info!$A:$D,4)</f>
        <v>UK</v>
      </c>
      <c r="K245">
        <f>Table1[[#This Row],[Quantity]]*Table1[[#This Row],[UnitPrice]]</f>
        <v>350.01</v>
      </c>
    </row>
    <row r="246" spans="1:11">
      <c r="A246" t="s">
        <v>395</v>
      </c>
      <c r="B246" s="1">
        <v>45469</v>
      </c>
      <c r="C246" t="s">
        <v>396</v>
      </c>
      <c r="D246" t="s">
        <v>260</v>
      </c>
      <c r="E246">
        <v>4</v>
      </c>
      <c r="F246">
        <v>782.8</v>
      </c>
      <c r="G246" t="str">
        <f>VLOOKUP(Table1[[#This Row],[ProductID]],Products!A:D,2)</f>
        <v>Product_25</v>
      </c>
      <c r="H246" t="str">
        <f>VLOOKUP(Table1[[#This Row],[ProductID]],Products!A:D,3)</f>
        <v>Clothing</v>
      </c>
      <c r="I246">
        <f>VLOOKUP(Table1[[#This Row],[ProductID]],Products!$A:$D,4)</f>
        <v>195.7</v>
      </c>
      <c r="J246" t="str">
        <f>VLOOKUP(Table1[[#This Row],[CustomerID]],Customer_info!$A:$D,4)</f>
        <v>US</v>
      </c>
      <c r="K246">
        <f>Table1[[#This Row],[Quantity]]*Table1[[#This Row],[UnitPrice]]</f>
        <v>782.8</v>
      </c>
    </row>
    <row r="247" spans="1:11">
      <c r="A247" t="s">
        <v>397</v>
      </c>
      <c r="B247" s="1">
        <v>45370</v>
      </c>
      <c r="C247" t="s">
        <v>235</v>
      </c>
      <c r="D247" t="s">
        <v>52</v>
      </c>
      <c r="E247">
        <v>2</v>
      </c>
      <c r="F247">
        <v>171.7</v>
      </c>
      <c r="G247" t="str">
        <f>VLOOKUP(Table1[[#This Row],[ProductID]],Products!A:D,2)</f>
        <v>Product_29</v>
      </c>
      <c r="H247" t="str">
        <f>VLOOKUP(Table1[[#This Row],[ProductID]],Products!A:D,3)</f>
        <v>Beauty</v>
      </c>
      <c r="I247">
        <f>VLOOKUP(Table1[[#This Row],[ProductID]],Products!$A:$D,4)</f>
        <v>85.85</v>
      </c>
      <c r="J247" t="str">
        <f>VLOOKUP(Table1[[#This Row],[CustomerID]],Customer_info!$A:$D,4)</f>
        <v>US</v>
      </c>
      <c r="K247">
        <f>Table1[[#This Row],[Quantity]]*Table1[[#This Row],[UnitPrice]]</f>
        <v>171.7</v>
      </c>
    </row>
    <row r="248" spans="1:11">
      <c r="A248" t="s">
        <v>398</v>
      </c>
      <c r="B248" s="1">
        <v>45386</v>
      </c>
      <c r="C248" t="s">
        <v>264</v>
      </c>
      <c r="D248" t="s">
        <v>304</v>
      </c>
      <c r="E248">
        <v>5</v>
      </c>
      <c r="F248">
        <v>1371.1</v>
      </c>
      <c r="G248" t="str">
        <f>VLOOKUP(Table1[[#This Row],[ProductID]],Products!A:D,2)</f>
        <v>Product_4</v>
      </c>
      <c r="H248" t="str">
        <f>VLOOKUP(Table1[[#This Row],[ProductID]],Products!A:D,3)</f>
        <v>Clothing</v>
      </c>
      <c r="I248">
        <f>VLOOKUP(Table1[[#This Row],[ProductID]],Products!$A:$D,4)</f>
        <v>274.22000000000003</v>
      </c>
      <c r="J248" t="str">
        <f>VLOOKUP(Table1[[#This Row],[CustomerID]],Customer_info!$A:$D,4)</f>
        <v>Canada</v>
      </c>
      <c r="K248">
        <f>Table1[[#This Row],[Quantity]]*Table1[[#This Row],[UnitPrice]]</f>
        <v>1371.1000000000001</v>
      </c>
    </row>
    <row r="249" spans="1:11">
      <c r="A249" t="s">
        <v>399</v>
      </c>
      <c r="B249" s="1">
        <v>45433</v>
      </c>
      <c r="C249" t="s">
        <v>323</v>
      </c>
      <c r="D249" t="s">
        <v>14</v>
      </c>
      <c r="E249">
        <v>4</v>
      </c>
      <c r="F249">
        <v>946.76</v>
      </c>
      <c r="G249" t="str">
        <f>VLOOKUP(Table1[[#This Row],[ProductID]],Products!A:D,2)</f>
        <v>Product_17</v>
      </c>
      <c r="H249" t="str">
        <f>VLOOKUP(Table1[[#This Row],[ProductID]],Products!A:D,3)</f>
        <v>Home</v>
      </c>
      <c r="I249">
        <f>VLOOKUP(Table1[[#This Row],[ProductID]],Products!$A:$D,4)</f>
        <v>236.69</v>
      </c>
      <c r="J249" t="str">
        <f>VLOOKUP(Table1[[#This Row],[CustomerID]],Customer_info!$A:$D,4)</f>
        <v>US</v>
      </c>
      <c r="K249">
        <f>Table1[[#This Row],[Quantity]]*Table1[[#This Row],[UnitPrice]]</f>
        <v>946.76</v>
      </c>
    </row>
    <row r="250" spans="1:11">
      <c r="A250" t="s">
        <v>400</v>
      </c>
      <c r="B250" s="1">
        <v>45380</v>
      </c>
      <c r="C250" t="s">
        <v>89</v>
      </c>
      <c r="D250" t="s">
        <v>55</v>
      </c>
      <c r="E250">
        <v>5</v>
      </c>
      <c r="F250">
        <v>653.25</v>
      </c>
      <c r="G250" t="str">
        <f>VLOOKUP(Table1[[#This Row],[ProductID]],Products!A:D,2)</f>
        <v>Product_40</v>
      </c>
      <c r="H250" t="str">
        <f>VLOOKUP(Table1[[#This Row],[ProductID]],Products!A:D,3)</f>
        <v>Sports</v>
      </c>
      <c r="I250">
        <f>VLOOKUP(Table1[[#This Row],[ProductID]],Products!$A:$D,4)</f>
        <v>130.65</v>
      </c>
      <c r="J250" t="str">
        <f>VLOOKUP(Table1[[#This Row],[CustomerID]],Customer_info!$A:$D,4)</f>
        <v>UK</v>
      </c>
      <c r="K250">
        <f>Table1[[#This Row],[Quantity]]*Table1[[#This Row],[UnitPrice]]</f>
        <v>653.25</v>
      </c>
    </row>
    <row r="251" spans="1:11">
      <c r="A251" t="s">
        <v>401</v>
      </c>
      <c r="B251" s="1">
        <v>45432</v>
      </c>
      <c r="C251" t="s">
        <v>19</v>
      </c>
      <c r="D251" t="s">
        <v>231</v>
      </c>
      <c r="E251">
        <v>4</v>
      </c>
      <c r="F251">
        <v>974.52</v>
      </c>
      <c r="G251" t="str">
        <f>VLOOKUP(Table1[[#This Row],[ProductID]],Products!A:D,2)</f>
        <v>Product_34</v>
      </c>
      <c r="H251" t="str">
        <f>VLOOKUP(Table1[[#This Row],[ProductID]],Products!A:D,3)</f>
        <v>Sports</v>
      </c>
      <c r="I251">
        <f>VLOOKUP(Table1[[#This Row],[ProductID]],Products!$A:$D,4)</f>
        <v>243.63</v>
      </c>
      <c r="J251" t="str">
        <f>VLOOKUP(Table1[[#This Row],[CustomerID]],Customer_info!$A:$D,4)</f>
        <v>US</v>
      </c>
      <c r="K251">
        <f>Table1[[#This Row],[Quantity]]*Table1[[#This Row],[UnitPrice]]</f>
        <v>974.52</v>
      </c>
    </row>
    <row r="252" spans="1:11">
      <c r="A252" t="s">
        <v>402</v>
      </c>
      <c r="B252" s="1">
        <v>45382</v>
      </c>
      <c r="C252" t="s">
        <v>159</v>
      </c>
      <c r="D252" t="s">
        <v>231</v>
      </c>
      <c r="E252">
        <v>3</v>
      </c>
      <c r="F252">
        <v>730.89</v>
      </c>
      <c r="G252" t="str">
        <f>VLOOKUP(Table1[[#This Row],[ProductID]],Products!A:D,2)</f>
        <v>Product_34</v>
      </c>
      <c r="H252" t="str">
        <f>VLOOKUP(Table1[[#This Row],[ProductID]],Products!A:D,3)</f>
        <v>Sports</v>
      </c>
      <c r="I252">
        <f>VLOOKUP(Table1[[#This Row],[ProductID]],Products!$A:$D,4)</f>
        <v>243.63</v>
      </c>
      <c r="J252" t="str">
        <f>VLOOKUP(Table1[[#This Row],[CustomerID]],Customer_info!$A:$D,4)</f>
        <v>US</v>
      </c>
      <c r="K252">
        <f>Table1[[#This Row],[Quantity]]*Table1[[#This Row],[UnitPrice]]</f>
        <v>730.89</v>
      </c>
    </row>
    <row r="253" spans="1:11">
      <c r="A253" t="s">
        <v>403</v>
      </c>
      <c r="B253" s="1">
        <v>45361</v>
      </c>
      <c r="C253" t="s">
        <v>74</v>
      </c>
      <c r="D253" t="s">
        <v>63</v>
      </c>
      <c r="E253">
        <v>4</v>
      </c>
      <c r="F253">
        <v>231.92</v>
      </c>
      <c r="G253" t="str">
        <f>VLOOKUP(Table1[[#This Row],[ProductID]],Products!A:D,2)</f>
        <v>Product_19</v>
      </c>
      <c r="H253" t="str">
        <f>VLOOKUP(Table1[[#This Row],[ProductID]],Products!A:D,3)</f>
        <v>Sports</v>
      </c>
      <c r="I253">
        <f>VLOOKUP(Table1[[#This Row],[ProductID]],Products!$A:$D,4)</f>
        <v>57.98</v>
      </c>
      <c r="J253" t="str">
        <f>VLOOKUP(Table1[[#This Row],[CustomerID]],Customer_info!$A:$D,4)</f>
        <v>India</v>
      </c>
      <c r="K253">
        <f>Table1[[#This Row],[Quantity]]*Table1[[#This Row],[UnitPrice]]</f>
        <v>231.92</v>
      </c>
    </row>
    <row r="254" spans="1:11">
      <c r="A254" t="s">
        <v>404</v>
      </c>
      <c r="B254" s="1">
        <v>45356</v>
      </c>
      <c r="C254" t="s">
        <v>93</v>
      </c>
      <c r="D254" t="s">
        <v>98</v>
      </c>
      <c r="E254">
        <v>3</v>
      </c>
      <c r="F254">
        <v>395.52</v>
      </c>
      <c r="G254" t="str">
        <f>VLOOKUP(Table1[[#This Row],[ProductID]],Products!A:D,2)</f>
        <v>Product_14</v>
      </c>
      <c r="H254" t="str">
        <f>VLOOKUP(Table1[[#This Row],[ProductID]],Products!A:D,3)</f>
        <v>Electronics</v>
      </c>
      <c r="I254">
        <f>VLOOKUP(Table1[[#This Row],[ProductID]],Products!$A:$D,4)</f>
        <v>131.84</v>
      </c>
      <c r="J254" t="str">
        <f>VLOOKUP(Table1[[#This Row],[CustomerID]],Customer_info!$A:$D,4)</f>
        <v>US</v>
      </c>
      <c r="K254">
        <f>Table1[[#This Row],[Quantity]]*Table1[[#This Row],[UnitPrice]]</f>
        <v>395.52</v>
      </c>
    </row>
    <row r="255" spans="1:11">
      <c r="A255" t="s">
        <v>405</v>
      </c>
      <c r="B255" s="1">
        <v>45322</v>
      </c>
      <c r="C255" t="s">
        <v>67</v>
      </c>
      <c r="D255" t="s">
        <v>160</v>
      </c>
      <c r="E255">
        <v>2</v>
      </c>
      <c r="F255">
        <v>87.16</v>
      </c>
      <c r="G255" t="str">
        <f>VLOOKUP(Table1[[#This Row],[ProductID]],Products!A:D,2)</f>
        <v>Product_37</v>
      </c>
      <c r="H255" t="str">
        <f>VLOOKUP(Table1[[#This Row],[ProductID]],Products!A:D,3)</f>
        <v>Clothing</v>
      </c>
      <c r="I255">
        <f>VLOOKUP(Table1[[#This Row],[ProductID]],Products!$A:$D,4)</f>
        <v>43.58</v>
      </c>
      <c r="J255" t="str">
        <f>VLOOKUP(Table1[[#This Row],[CustomerID]],Customer_info!$A:$D,4)</f>
        <v>Canada</v>
      </c>
      <c r="K255">
        <f>Table1[[#This Row],[Quantity]]*Table1[[#This Row],[UnitPrice]]</f>
        <v>87.16</v>
      </c>
    </row>
    <row r="256" spans="1:11">
      <c r="A256" t="s">
        <v>406</v>
      </c>
      <c r="B256" s="1">
        <v>45372</v>
      </c>
      <c r="C256" t="s">
        <v>384</v>
      </c>
      <c r="D256" t="s">
        <v>196</v>
      </c>
      <c r="E256">
        <v>2</v>
      </c>
      <c r="F256">
        <v>491.74</v>
      </c>
      <c r="G256" t="str">
        <f>VLOOKUP(Table1[[#This Row],[ProductID]],Products!A:D,2)</f>
        <v>Product_23</v>
      </c>
      <c r="H256" t="str">
        <f>VLOOKUP(Table1[[#This Row],[ProductID]],Products!A:D,3)</f>
        <v>Beauty</v>
      </c>
      <c r="I256">
        <f>VLOOKUP(Table1[[#This Row],[ProductID]],Products!$A:$D,4)</f>
        <v>245.87</v>
      </c>
      <c r="J256" t="str">
        <f>VLOOKUP(Table1[[#This Row],[CustomerID]],Customer_info!$A:$D,4)</f>
        <v>India</v>
      </c>
      <c r="K256">
        <f>Table1[[#This Row],[Quantity]]*Table1[[#This Row],[UnitPrice]]</f>
        <v>491.74</v>
      </c>
    </row>
    <row r="257" spans="1:11">
      <c r="A257" t="s">
        <v>407</v>
      </c>
      <c r="B257" s="1">
        <v>45429</v>
      </c>
      <c r="C257" t="s">
        <v>310</v>
      </c>
      <c r="D257" t="s">
        <v>160</v>
      </c>
      <c r="E257">
        <v>1</v>
      </c>
      <c r="F257">
        <v>43.58</v>
      </c>
      <c r="G257" t="str">
        <f>VLOOKUP(Table1[[#This Row],[ProductID]],Products!A:D,2)</f>
        <v>Product_37</v>
      </c>
      <c r="H257" t="str">
        <f>VLOOKUP(Table1[[#This Row],[ProductID]],Products!A:D,3)</f>
        <v>Clothing</v>
      </c>
      <c r="I257">
        <f>VLOOKUP(Table1[[#This Row],[ProductID]],Products!$A:$D,4)</f>
        <v>43.58</v>
      </c>
      <c r="J257" t="str">
        <f>VLOOKUP(Table1[[#This Row],[CustomerID]],Customer_info!$A:$D,4)</f>
        <v>US</v>
      </c>
      <c r="K257">
        <f>Table1[[#This Row],[Quantity]]*Table1[[#This Row],[UnitPrice]]</f>
        <v>43.58</v>
      </c>
    </row>
    <row r="258" spans="1:11">
      <c r="A258" t="s">
        <v>408</v>
      </c>
      <c r="B258" s="1">
        <v>45341</v>
      </c>
      <c r="C258" t="s">
        <v>318</v>
      </c>
      <c r="D258" t="s">
        <v>132</v>
      </c>
      <c r="E258">
        <v>2</v>
      </c>
      <c r="F258">
        <v>675.6</v>
      </c>
      <c r="G258" t="str">
        <f>VLOOKUP(Table1[[#This Row],[ProductID]],Products!A:D,2)</f>
        <v>Product_3</v>
      </c>
      <c r="H258" t="str">
        <f>VLOOKUP(Table1[[#This Row],[ProductID]],Products!A:D,3)</f>
        <v>Home</v>
      </c>
      <c r="I258">
        <f>VLOOKUP(Table1[[#This Row],[ProductID]],Products!$A:$D,4)</f>
        <v>337.8</v>
      </c>
      <c r="J258" t="str">
        <f>VLOOKUP(Table1[[#This Row],[CustomerID]],Customer_info!$A:$D,4)</f>
        <v>UK</v>
      </c>
      <c r="K258">
        <f>Table1[[#This Row],[Quantity]]*Table1[[#This Row],[UnitPrice]]</f>
        <v>675.6</v>
      </c>
    </row>
    <row r="259" spans="1:11">
      <c r="A259" t="s">
        <v>409</v>
      </c>
      <c r="B259" s="1">
        <v>45415</v>
      </c>
      <c r="C259" t="s">
        <v>410</v>
      </c>
      <c r="D259" t="s">
        <v>129</v>
      </c>
      <c r="E259">
        <v>2</v>
      </c>
      <c r="F259">
        <v>233.34</v>
      </c>
      <c r="G259" t="str">
        <f>VLOOKUP(Table1[[#This Row],[ProductID]],Products!A:D,2)</f>
        <v>Product_30</v>
      </c>
      <c r="H259" t="str">
        <f>VLOOKUP(Table1[[#This Row],[ProductID]],Products!A:D,3)</f>
        <v>Home</v>
      </c>
      <c r="I259">
        <f>VLOOKUP(Table1[[#This Row],[ProductID]],Products!$A:$D,4)</f>
        <v>116.67</v>
      </c>
      <c r="J259" t="str">
        <f>VLOOKUP(Table1[[#This Row],[CustomerID]],Customer_info!$A:$D,4)</f>
        <v>UK</v>
      </c>
      <c r="K259">
        <f>Table1[[#This Row],[Quantity]]*Table1[[#This Row],[UnitPrice]]</f>
        <v>233.34</v>
      </c>
    </row>
    <row r="260" spans="1:11">
      <c r="A260" t="s">
        <v>411</v>
      </c>
      <c r="B260" s="1">
        <v>45442</v>
      </c>
      <c r="C260" t="s">
        <v>310</v>
      </c>
      <c r="D260" t="s">
        <v>146</v>
      </c>
      <c r="E260">
        <v>3</v>
      </c>
      <c r="F260">
        <v>998.7</v>
      </c>
      <c r="G260" t="str">
        <f>VLOOKUP(Table1[[#This Row],[ProductID]],Products!A:D,2)</f>
        <v>Product_8</v>
      </c>
      <c r="H260" t="str">
        <f>VLOOKUP(Table1[[#This Row],[ProductID]],Products!A:D,3)</f>
        <v>Electronics</v>
      </c>
      <c r="I260">
        <f>VLOOKUP(Table1[[#This Row],[ProductID]],Products!$A:$D,4)</f>
        <v>332.9</v>
      </c>
      <c r="J260" t="str">
        <f>VLOOKUP(Table1[[#This Row],[CustomerID]],Customer_info!$A:$D,4)</f>
        <v>US</v>
      </c>
      <c r="K260">
        <f>Table1[[#This Row],[Quantity]]*Table1[[#This Row],[UnitPrice]]</f>
        <v>998.69999999999993</v>
      </c>
    </row>
    <row r="261" spans="1:11">
      <c r="A261" t="s">
        <v>412</v>
      </c>
      <c r="B261" s="1">
        <v>45444</v>
      </c>
      <c r="C261" t="s">
        <v>89</v>
      </c>
      <c r="D261" t="s">
        <v>124</v>
      </c>
      <c r="E261">
        <v>5</v>
      </c>
      <c r="F261">
        <v>198.5</v>
      </c>
      <c r="G261" t="str">
        <f>VLOOKUP(Table1[[#This Row],[ProductID]],Products!A:D,2)</f>
        <v>Product_12</v>
      </c>
      <c r="H261" t="str">
        <f>VLOOKUP(Table1[[#This Row],[ProductID]],Products!A:D,3)</f>
        <v>Electronics</v>
      </c>
      <c r="I261">
        <f>VLOOKUP(Table1[[#This Row],[ProductID]],Products!$A:$D,4)</f>
        <v>39.700000000000003</v>
      </c>
      <c r="J261" t="str">
        <f>VLOOKUP(Table1[[#This Row],[CustomerID]],Customer_info!$A:$D,4)</f>
        <v>UK</v>
      </c>
      <c r="K261">
        <f>Table1[[#This Row],[Quantity]]*Table1[[#This Row],[UnitPrice]]</f>
        <v>198.5</v>
      </c>
    </row>
    <row r="262" spans="1:11">
      <c r="A262" t="s">
        <v>413</v>
      </c>
      <c r="B262" s="1">
        <v>45317</v>
      </c>
      <c r="C262" t="s">
        <v>312</v>
      </c>
      <c r="D262" t="s">
        <v>20</v>
      </c>
      <c r="E262">
        <v>3</v>
      </c>
      <c r="F262">
        <v>623.54999999999995</v>
      </c>
      <c r="G262" t="str">
        <f>VLOOKUP(Table1[[#This Row],[ProductID]],Products!A:D,2)</f>
        <v>Product_39</v>
      </c>
      <c r="H262" t="str">
        <f>VLOOKUP(Table1[[#This Row],[ProductID]],Products!A:D,3)</f>
        <v>Clothing</v>
      </c>
      <c r="I262">
        <f>VLOOKUP(Table1[[#This Row],[ProductID]],Products!$A:$D,4)</f>
        <v>207.85</v>
      </c>
      <c r="J262" t="str">
        <f>VLOOKUP(Table1[[#This Row],[CustomerID]],Customer_info!$A:$D,4)</f>
        <v>UK</v>
      </c>
      <c r="K262">
        <f>Table1[[#This Row],[Quantity]]*Table1[[#This Row],[UnitPrice]]</f>
        <v>623.54999999999995</v>
      </c>
    </row>
    <row r="263" spans="1:11">
      <c r="A263" t="s">
        <v>414</v>
      </c>
      <c r="B263" s="1">
        <v>45367</v>
      </c>
      <c r="C263" t="s">
        <v>241</v>
      </c>
      <c r="D263" t="s">
        <v>260</v>
      </c>
      <c r="E263">
        <v>2</v>
      </c>
      <c r="F263">
        <v>391.4</v>
      </c>
      <c r="G263" t="str">
        <f>VLOOKUP(Table1[[#This Row],[ProductID]],Products!A:D,2)</f>
        <v>Product_25</v>
      </c>
      <c r="H263" t="str">
        <f>VLOOKUP(Table1[[#This Row],[ProductID]],Products!A:D,3)</f>
        <v>Clothing</v>
      </c>
      <c r="I263">
        <f>VLOOKUP(Table1[[#This Row],[ProductID]],Products!$A:$D,4)</f>
        <v>195.7</v>
      </c>
      <c r="J263" t="str">
        <f>VLOOKUP(Table1[[#This Row],[CustomerID]],Customer_info!$A:$D,4)</f>
        <v>US</v>
      </c>
      <c r="K263">
        <f>Table1[[#This Row],[Quantity]]*Table1[[#This Row],[UnitPrice]]</f>
        <v>391.4</v>
      </c>
    </row>
    <row r="264" spans="1:11">
      <c r="A264" t="s">
        <v>415</v>
      </c>
      <c r="B264" s="1">
        <v>45384</v>
      </c>
      <c r="C264" t="s">
        <v>258</v>
      </c>
      <c r="D264" t="s">
        <v>98</v>
      </c>
      <c r="E264">
        <v>2</v>
      </c>
      <c r="F264">
        <v>263.68</v>
      </c>
      <c r="G264" t="str">
        <f>VLOOKUP(Table1[[#This Row],[ProductID]],Products!A:D,2)</f>
        <v>Product_14</v>
      </c>
      <c r="H264" t="str">
        <f>VLOOKUP(Table1[[#This Row],[ProductID]],Products!A:D,3)</f>
        <v>Electronics</v>
      </c>
      <c r="I264">
        <f>VLOOKUP(Table1[[#This Row],[ProductID]],Products!$A:$D,4)</f>
        <v>131.84</v>
      </c>
      <c r="J264" t="str">
        <f>VLOOKUP(Table1[[#This Row],[CustomerID]],Customer_info!$A:$D,4)</f>
        <v>Canada</v>
      </c>
      <c r="K264">
        <f>Table1[[#This Row],[Quantity]]*Table1[[#This Row],[UnitPrice]]</f>
        <v>263.68</v>
      </c>
    </row>
    <row r="265" spans="1:11">
      <c r="A265" t="s">
        <v>416</v>
      </c>
      <c r="B265" s="1">
        <v>45369</v>
      </c>
      <c r="C265" t="s">
        <v>295</v>
      </c>
      <c r="D265" t="s">
        <v>55</v>
      </c>
      <c r="E265">
        <v>2</v>
      </c>
      <c r="F265">
        <v>261.3</v>
      </c>
      <c r="G265" t="str">
        <f>VLOOKUP(Table1[[#This Row],[ProductID]],Products!A:D,2)</f>
        <v>Product_40</v>
      </c>
      <c r="H265" t="str">
        <f>VLOOKUP(Table1[[#This Row],[ProductID]],Products!A:D,3)</f>
        <v>Sports</v>
      </c>
      <c r="I265">
        <f>VLOOKUP(Table1[[#This Row],[ProductID]],Products!$A:$D,4)</f>
        <v>130.65</v>
      </c>
      <c r="J265" t="str">
        <f>VLOOKUP(Table1[[#This Row],[CustomerID]],Customer_info!$A:$D,4)</f>
        <v>US</v>
      </c>
      <c r="K265">
        <f>Table1[[#This Row],[Quantity]]*Table1[[#This Row],[UnitPrice]]</f>
        <v>261.3</v>
      </c>
    </row>
    <row r="266" spans="1:11">
      <c r="A266" t="s">
        <v>417</v>
      </c>
      <c r="B266" s="1">
        <v>45428</v>
      </c>
      <c r="C266" t="s">
        <v>70</v>
      </c>
      <c r="D266" t="s">
        <v>26</v>
      </c>
      <c r="E266">
        <v>1</v>
      </c>
      <c r="F266">
        <v>149.77000000000001</v>
      </c>
      <c r="G266" t="str">
        <f>VLOOKUP(Table1[[#This Row],[ProductID]],Products!A:D,2)</f>
        <v>Product_27</v>
      </c>
      <c r="H266" t="str">
        <f>VLOOKUP(Table1[[#This Row],[ProductID]],Products!A:D,3)</f>
        <v>Beauty</v>
      </c>
      <c r="I266">
        <f>VLOOKUP(Table1[[#This Row],[ProductID]],Products!$A:$D,4)</f>
        <v>149.77000000000001</v>
      </c>
      <c r="J266" t="str">
        <f>VLOOKUP(Table1[[#This Row],[CustomerID]],Customer_info!$A:$D,4)</f>
        <v>US</v>
      </c>
      <c r="K266">
        <f>Table1[[#This Row],[Quantity]]*Table1[[#This Row],[UnitPrice]]</f>
        <v>149.77000000000001</v>
      </c>
    </row>
    <row r="267" spans="1:11">
      <c r="A267" t="s">
        <v>418</v>
      </c>
      <c r="B267" s="1">
        <v>45362</v>
      </c>
      <c r="C267" t="s">
        <v>89</v>
      </c>
      <c r="D267" t="s">
        <v>129</v>
      </c>
      <c r="E267">
        <v>2</v>
      </c>
      <c r="F267">
        <v>233.34</v>
      </c>
      <c r="G267" t="str">
        <f>VLOOKUP(Table1[[#This Row],[ProductID]],Products!A:D,2)</f>
        <v>Product_30</v>
      </c>
      <c r="H267" t="str">
        <f>VLOOKUP(Table1[[#This Row],[ProductID]],Products!A:D,3)</f>
        <v>Home</v>
      </c>
      <c r="I267">
        <f>VLOOKUP(Table1[[#This Row],[ProductID]],Products!$A:$D,4)</f>
        <v>116.67</v>
      </c>
      <c r="J267" t="str">
        <f>VLOOKUP(Table1[[#This Row],[CustomerID]],Customer_info!$A:$D,4)</f>
        <v>UK</v>
      </c>
      <c r="K267">
        <f>Table1[[#This Row],[Quantity]]*Table1[[#This Row],[UnitPrice]]</f>
        <v>233.34</v>
      </c>
    </row>
    <row r="268" spans="1:11">
      <c r="A268" t="s">
        <v>419</v>
      </c>
      <c r="B268" s="1">
        <v>45305</v>
      </c>
      <c r="C268" t="s">
        <v>214</v>
      </c>
      <c r="D268" t="s">
        <v>81</v>
      </c>
      <c r="E268">
        <v>1</v>
      </c>
      <c r="F268">
        <v>433.28</v>
      </c>
      <c r="G268" t="str">
        <f>VLOOKUP(Table1[[#This Row],[ProductID]],Products!A:D,2)</f>
        <v>Product_10</v>
      </c>
      <c r="H268" t="str">
        <f>VLOOKUP(Table1[[#This Row],[ProductID]],Products!A:D,3)</f>
        <v>Beauty</v>
      </c>
      <c r="I268">
        <f>VLOOKUP(Table1[[#This Row],[ProductID]],Products!$A:$D,4)</f>
        <v>433.28</v>
      </c>
      <c r="J268" t="str">
        <f>VLOOKUP(Table1[[#This Row],[CustomerID]],Customer_info!$A:$D,4)</f>
        <v>UK</v>
      </c>
      <c r="K268">
        <f>Table1[[#This Row],[Quantity]]*Table1[[#This Row],[UnitPrice]]</f>
        <v>433.28</v>
      </c>
    </row>
    <row r="269" spans="1:11">
      <c r="A269" t="s">
        <v>420</v>
      </c>
      <c r="B269" s="1">
        <v>45366</v>
      </c>
      <c r="C269" t="s">
        <v>105</v>
      </c>
      <c r="D269" t="s">
        <v>129</v>
      </c>
      <c r="E269">
        <v>5</v>
      </c>
      <c r="F269">
        <v>583.35</v>
      </c>
      <c r="G269" t="str">
        <f>VLOOKUP(Table1[[#This Row],[ProductID]],Products!A:D,2)</f>
        <v>Product_30</v>
      </c>
      <c r="H269" t="str">
        <f>VLOOKUP(Table1[[#This Row],[ProductID]],Products!A:D,3)</f>
        <v>Home</v>
      </c>
      <c r="I269">
        <f>VLOOKUP(Table1[[#This Row],[ProductID]],Products!$A:$D,4)</f>
        <v>116.67</v>
      </c>
      <c r="J269" t="str">
        <f>VLOOKUP(Table1[[#This Row],[CustomerID]],Customer_info!$A:$D,4)</f>
        <v>UK</v>
      </c>
      <c r="K269">
        <f>Table1[[#This Row],[Quantity]]*Table1[[#This Row],[UnitPrice]]</f>
        <v>583.35</v>
      </c>
    </row>
    <row r="270" spans="1:11">
      <c r="A270" t="s">
        <v>421</v>
      </c>
      <c r="B270" s="1">
        <v>45455</v>
      </c>
      <c r="C270" t="s">
        <v>422</v>
      </c>
      <c r="D270" t="s">
        <v>260</v>
      </c>
      <c r="E270">
        <v>2</v>
      </c>
      <c r="F270">
        <v>391.4</v>
      </c>
      <c r="G270" t="str">
        <f>VLOOKUP(Table1[[#This Row],[ProductID]],Products!A:D,2)</f>
        <v>Product_25</v>
      </c>
      <c r="H270" t="str">
        <f>VLOOKUP(Table1[[#This Row],[ProductID]],Products!A:D,3)</f>
        <v>Clothing</v>
      </c>
      <c r="I270">
        <f>VLOOKUP(Table1[[#This Row],[ProductID]],Products!$A:$D,4)</f>
        <v>195.7</v>
      </c>
      <c r="J270" t="str">
        <f>VLOOKUP(Table1[[#This Row],[CustomerID]],Customer_info!$A:$D,4)</f>
        <v>India</v>
      </c>
      <c r="K270">
        <f>Table1[[#This Row],[Quantity]]*Table1[[#This Row],[UnitPrice]]</f>
        <v>391.4</v>
      </c>
    </row>
    <row r="271" spans="1:11">
      <c r="A271" t="s">
        <v>423</v>
      </c>
      <c r="B271" s="1">
        <v>45318</v>
      </c>
      <c r="C271" t="s">
        <v>16</v>
      </c>
      <c r="D271" t="s">
        <v>152</v>
      </c>
      <c r="E271">
        <v>4</v>
      </c>
      <c r="F271">
        <v>1363.4</v>
      </c>
      <c r="G271" t="str">
        <f>VLOOKUP(Table1[[#This Row],[ProductID]],Products!A:D,2)</f>
        <v>Product_38</v>
      </c>
      <c r="H271" t="str">
        <f>VLOOKUP(Table1[[#This Row],[ProductID]],Products!A:D,3)</f>
        <v>Electronics</v>
      </c>
      <c r="I271">
        <f>VLOOKUP(Table1[[#This Row],[ProductID]],Products!$A:$D,4)</f>
        <v>340.85</v>
      </c>
      <c r="J271" t="str">
        <f>VLOOKUP(Table1[[#This Row],[CustomerID]],Customer_info!$A:$D,4)</f>
        <v>Canada</v>
      </c>
      <c r="K271">
        <f>Table1[[#This Row],[Quantity]]*Table1[[#This Row],[UnitPrice]]</f>
        <v>1363.4</v>
      </c>
    </row>
    <row r="272" spans="1:11">
      <c r="A272" t="s">
        <v>424</v>
      </c>
      <c r="B272" s="1">
        <v>45438</v>
      </c>
      <c r="C272" t="s">
        <v>37</v>
      </c>
      <c r="D272" t="s">
        <v>60</v>
      </c>
      <c r="E272">
        <v>1</v>
      </c>
      <c r="F272">
        <v>91.49</v>
      </c>
      <c r="G272" t="str">
        <f>VLOOKUP(Table1[[#This Row],[ProductID]],Products!A:D,2)</f>
        <v>Product_22</v>
      </c>
      <c r="H272" t="str">
        <f>VLOOKUP(Table1[[#This Row],[ProductID]],Products!A:D,3)</f>
        <v>Clothing</v>
      </c>
      <c r="I272">
        <f>VLOOKUP(Table1[[#This Row],[ProductID]],Products!$A:$D,4)</f>
        <v>91.49</v>
      </c>
      <c r="J272" t="str">
        <f>VLOOKUP(Table1[[#This Row],[CustomerID]],Customer_info!$A:$D,4)</f>
        <v>US</v>
      </c>
      <c r="K272">
        <f>Table1[[#This Row],[Quantity]]*Table1[[#This Row],[UnitPrice]]</f>
        <v>91.49</v>
      </c>
    </row>
    <row r="273" spans="1:11">
      <c r="A273" t="s">
        <v>425</v>
      </c>
      <c r="B273" s="1">
        <v>45412</v>
      </c>
      <c r="C273" t="s">
        <v>235</v>
      </c>
      <c r="D273" t="s">
        <v>225</v>
      </c>
      <c r="E273">
        <v>3</v>
      </c>
      <c r="F273">
        <v>1391.76</v>
      </c>
      <c r="G273" t="str">
        <f>VLOOKUP(Table1[[#This Row],[ProductID]],Products!A:D,2)</f>
        <v>Product_21</v>
      </c>
      <c r="H273" t="str">
        <f>VLOOKUP(Table1[[#This Row],[ProductID]],Products!A:D,3)</f>
        <v>Electronics</v>
      </c>
      <c r="I273">
        <f>VLOOKUP(Table1[[#This Row],[ProductID]],Products!$A:$D,4)</f>
        <v>463.92</v>
      </c>
      <c r="J273" t="str">
        <f>VLOOKUP(Table1[[#This Row],[CustomerID]],Customer_info!$A:$D,4)</f>
        <v>US</v>
      </c>
      <c r="K273">
        <f>Table1[[#This Row],[Quantity]]*Table1[[#This Row],[UnitPrice]]</f>
        <v>1391.76</v>
      </c>
    </row>
    <row r="274" spans="1:11">
      <c r="A274" t="s">
        <v>426</v>
      </c>
      <c r="B274" s="1">
        <v>45404</v>
      </c>
      <c r="C274" t="s">
        <v>170</v>
      </c>
      <c r="D274" t="s">
        <v>114</v>
      </c>
      <c r="E274">
        <v>4</v>
      </c>
      <c r="F274">
        <v>908.52</v>
      </c>
      <c r="G274" t="str">
        <f>VLOOKUP(Table1[[#This Row],[ProductID]],Products!A:D,2)</f>
        <v>Product_18</v>
      </c>
      <c r="H274" t="str">
        <f>VLOOKUP(Table1[[#This Row],[ProductID]],Products!A:D,3)</f>
        <v>Electronics</v>
      </c>
      <c r="I274">
        <f>VLOOKUP(Table1[[#This Row],[ProductID]],Products!$A:$D,4)</f>
        <v>227.13</v>
      </c>
      <c r="J274" t="str">
        <f>VLOOKUP(Table1[[#This Row],[CustomerID]],Customer_info!$A:$D,4)</f>
        <v>UK</v>
      </c>
      <c r="K274">
        <f>Table1[[#This Row],[Quantity]]*Table1[[#This Row],[UnitPrice]]</f>
        <v>908.52</v>
      </c>
    </row>
    <row r="275" spans="1:11">
      <c r="A275" t="s">
        <v>427</v>
      </c>
      <c r="B275" s="1">
        <v>45339</v>
      </c>
      <c r="C275" t="s">
        <v>315</v>
      </c>
      <c r="D275" t="s">
        <v>129</v>
      </c>
      <c r="E275">
        <v>3</v>
      </c>
      <c r="F275">
        <v>350.01</v>
      </c>
      <c r="G275" t="str">
        <f>VLOOKUP(Table1[[#This Row],[ProductID]],Products!A:D,2)</f>
        <v>Product_30</v>
      </c>
      <c r="H275" t="str">
        <f>VLOOKUP(Table1[[#This Row],[ProductID]],Products!A:D,3)</f>
        <v>Home</v>
      </c>
      <c r="I275">
        <f>VLOOKUP(Table1[[#This Row],[ProductID]],Products!$A:$D,4)</f>
        <v>116.67</v>
      </c>
      <c r="J275" t="str">
        <f>VLOOKUP(Table1[[#This Row],[CustomerID]],Customer_info!$A:$D,4)</f>
        <v>US</v>
      </c>
      <c r="K275">
        <f>Table1[[#This Row],[Quantity]]*Table1[[#This Row],[UnitPrice]]</f>
        <v>350.01</v>
      </c>
    </row>
    <row r="276" spans="1:11">
      <c r="A276" t="s">
        <v>428</v>
      </c>
      <c r="B276" s="1">
        <v>45356</v>
      </c>
      <c r="C276" t="s">
        <v>198</v>
      </c>
      <c r="D276" t="s">
        <v>44</v>
      </c>
      <c r="E276">
        <v>1</v>
      </c>
      <c r="F276">
        <v>272.77999999999997</v>
      </c>
      <c r="G276" t="str">
        <f>VLOOKUP(Table1[[#This Row],[ProductID]],Products!A:D,2)</f>
        <v>Product_15</v>
      </c>
      <c r="H276" t="str">
        <f>VLOOKUP(Table1[[#This Row],[ProductID]],Products!A:D,3)</f>
        <v>Clothing</v>
      </c>
      <c r="I276">
        <f>VLOOKUP(Table1[[#This Row],[ProductID]],Products!$A:$D,4)</f>
        <v>272.77999999999997</v>
      </c>
      <c r="J276" t="str">
        <f>VLOOKUP(Table1[[#This Row],[CustomerID]],Customer_info!$A:$D,4)</f>
        <v>UK</v>
      </c>
      <c r="K276">
        <f>Table1[[#This Row],[Quantity]]*Table1[[#This Row],[UnitPrice]]</f>
        <v>272.77999999999997</v>
      </c>
    </row>
    <row r="277" spans="1:11">
      <c r="A277" t="s">
        <v>429</v>
      </c>
      <c r="B277" s="1">
        <v>45321</v>
      </c>
      <c r="C277" t="s">
        <v>241</v>
      </c>
      <c r="D277" t="s">
        <v>17</v>
      </c>
      <c r="E277">
        <v>4</v>
      </c>
      <c r="F277">
        <v>1577.84</v>
      </c>
      <c r="G277" t="str">
        <f>VLOOKUP(Table1[[#This Row],[ProductID]],Products!A:D,2)</f>
        <v>Product_6</v>
      </c>
      <c r="H277" t="str">
        <f>VLOOKUP(Table1[[#This Row],[ProductID]],Products!A:D,3)</f>
        <v>Clothing</v>
      </c>
      <c r="I277">
        <f>VLOOKUP(Table1[[#This Row],[ProductID]],Products!$A:$D,4)</f>
        <v>394.46</v>
      </c>
      <c r="J277" t="str">
        <f>VLOOKUP(Table1[[#This Row],[CustomerID]],Customer_info!$A:$D,4)</f>
        <v>US</v>
      </c>
      <c r="K277">
        <f>Table1[[#This Row],[Quantity]]*Table1[[#This Row],[UnitPrice]]</f>
        <v>1577.84</v>
      </c>
    </row>
    <row r="278" spans="1:11">
      <c r="A278" t="s">
        <v>430</v>
      </c>
      <c r="B278" s="1">
        <v>45394</v>
      </c>
      <c r="C278" t="s">
        <v>431</v>
      </c>
      <c r="D278" t="s">
        <v>231</v>
      </c>
      <c r="E278">
        <v>1</v>
      </c>
      <c r="F278">
        <v>243.63</v>
      </c>
      <c r="G278" t="str">
        <f>VLOOKUP(Table1[[#This Row],[ProductID]],Products!A:D,2)</f>
        <v>Product_34</v>
      </c>
      <c r="H278" t="str">
        <f>VLOOKUP(Table1[[#This Row],[ProductID]],Products!A:D,3)</f>
        <v>Sports</v>
      </c>
      <c r="I278">
        <f>VLOOKUP(Table1[[#This Row],[ProductID]],Products!$A:$D,4)</f>
        <v>243.63</v>
      </c>
      <c r="J278" t="str">
        <f>VLOOKUP(Table1[[#This Row],[CustomerID]],Customer_info!$A:$D,4)</f>
        <v>UK</v>
      </c>
      <c r="K278">
        <f>Table1[[#This Row],[Quantity]]*Table1[[#This Row],[UnitPrice]]</f>
        <v>243.63</v>
      </c>
    </row>
    <row r="279" spans="1:11">
      <c r="A279" t="s">
        <v>432</v>
      </c>
      <c r="B279" s="1">
        <v>45310</v>
      </c>
      <c r="C279" t="s">
        <v>247</v>
      </c>
      <c r="D279" t="s">
        <v>68</v>
      </c>
      <c r="E279">
        <v>4</v>
      </c>
      <c r="F279">
        <v>1609.16</v>
      </c>
      <c r="G279" t="str">
        <f>VLOOKUP(Table1[[#This Row],[ProductID]],Products!A:D,2)</f>
        <v>Product_13</v>
      </c>
      <c r="H279" t="str">
        <f>VLOOKUP(Table1[[#This Row],[ProductID]],Products!A:D,3)</f>
        <v>Home</v>
      </c>
      <c r="I279">
        <f>VLOOKUP(Table1[[#This Row],[ProductID]],Products!$A:$D,4)</f>
        <v>402.29</v>
      </c>
      <c r="J279" t="str">
        <f>VLOOKUP(Table1[[#This Row],[CustomerID]],Customer_info!$A:$D,4)</f>
        <v>US</v>
      </c>
      <c r="K279">
        <f>Table1[[#This Row],[Quantity]]*Table1[[#This Row],[UnitPrice]]</f>
        <v>1609.16</v>
      </c>
    </row>
    <row r="280" spans="1:11">
      <c r="A280" t="s">
        <v>433</v>
      </c>
      <c r="B280" s="1">
        <v>45453</v>
      </c>
      <c r="C280" t="s">
        <v>16</v>
      </c>
      <c r="D280" t="s">
        <v>196</v>
      </c>
      <c r="E280">
        <v>5</v>
      </c>
      <c r="F280">
        <v>1229.3499999999999</v>
      </c>
      <c r="G280" t="str">
        <f>VLOOKUP(Table1[[#This Row],[ProductID]],Products!A:D,2)</f>
        <v>Product_23</v>
      </c>
      <c r="H280" t="str">
        <f>VLOOKUP(Table1[[#This Row],[ProductID]],Products!A:D,3)</f>
        <v>Beauty</v>
      </c>
      <c r="I280">
        <f>VLOOKUP(Table1[[#This Row],[ProductID]],Products!$A:$D,4)</f>
        <v>245.87</v>
      </c>
      <c r="J280" t="str">
        <f>VLOOKUP(Table1[[#This Row],[CustomerID]],Customer_info!$A:$D,4)</f>
        <v>Canada</v>
      </c>
      <c r="K280">
        <f>Table1[[#This Row],[Quantity]]*Table1[[#This Row],[UnitPrice]]</f>
        <v>1229.3499999999999</v>
      </c>
    </row>
    <row r="281" spans="1:11">
      <c r="A281" t="s">
        <v>434</v>
      </c>
      <c r="B281" s="1">
        <v>45330</v>
      </c>
      <c r="C281" t="s">
        <v>170</v>
      </c>
      <c r="D281" t="s">
        <v>23</v>
      </c>
      <c r="E281">
        <v>1</v>
      </c>
      <c r="F281">
        <v>103.3</v>
      </c>
      <c r="G281" t="str">
        <f>VLOOKUP(Table1[[#This Row],[ProductID]],Products!A:D,2)</f>
        <v>Product_7</v>
      </c>
      <c r="H281" t="str">
        <f>VLOOKUP(Table1[[#This Row],[ProductID]],Products!A:D,3)</f>
        <v>Beauty</v>
      </c>
      <c r="I281">
        <f>VLOOKUP(Table1[[#This Row],[ProductID]],Products!$A:$D,4)</f>
        <v>103.3</v>
      </c>
      <c r="J281" t="str">
        <f>VLOOKUP(Table1[[#This Row],[CustomerID]],Customer_info!$A:$D,4)</f>
        <v>UK</v>
      </c>
      <c r="K281">
        <f>Table1[[#This Row],[Quantity]]*Table1[[#This Row],[UnitPrice]]</f>
        <v>103.3</v>
      </c>
    </row>
    <row r="282" spans="1:11">
      <c r="A282" t="s">
        <v>435</v>
      </c>
      <c r="B282" s="1">
        <v>45436</v>
      </c>
      <c r="C282" t="s">
        <v>436</v>
      </c>
      <c r="D282" t="s">
        <v>63</v>
      </c>
      <c r="E282">
        <v>2</v>
      </c>
      <c r="F282">
        <v>115.96</v>
      </c>
      <c r="G282" t="str">
        <f>VLOOKUP(Table1[[#This Row],[ProductID]],Products!A:D,2)</f>
        <v>Product_19</v>
      </c>
      <c r="H282" t="str">
        <f>VLOOKUP(Table1[[#This Row],[ProductID]],Products!A:D,3)</f>
        <v>Sports</v>
      </c>
      <c r="I282">
        <f>VLOOKUP(Table1[[#This Row],[ProductID]],Products!$A:$D,4)</f>
        <v>57.98</v>
      </c>
      <c r="J282" t="str">
        <f>VLOOKUP(Table1[[#This Row],[CustomerID]],Customer_info!$A:$D,4)</f>
        <v>US</v>
      </c>
      <c r="K282">
        <f>Table1[[#This Row],[Quantity]]*Table1[[#This Row],[UnitPrice]]</f>
        <v>115.96</v>
      </c>
    </row>
    <row r="283" spans="1:11">
      <c r="A283" t="s">
        <v>437</v>
      </c>
      <c r="B283" s="1">
        <v>45313</v>
      </c>
      <c r="C283" t="s">
        <v>111</v>
      </c>
      <c r="D283" t="s">
        <v>63</v>
      </c>
      <c r="E283">
        <v>3</v>
      </c>
      <c r="F283">
        <v>173.94</v>
      </c>
      <c r="G283" t="str">
        <f>VLOOKUP(Table1[[#This Row],[ProductID]],Products!A:D,2)</f>
        <v>Product_19</v>
      </c>
      <c r="H283" t="str">
        <f>VLOOKUP(Table1[[#This Row],[ProductID]],Products!A:D,3)</f>
        <v>Sports</v>
      </c>
      <c r="I283">
        <f>VLOOKUP(Table1[[#This Row],[ProductID]],Products!$A:$D,4)</f>
        <v>57.98</v>
      </c>
      <c r="J283" t="str">
        <f>VLOOKUP(Table1[[#This Row],[CustomerID]],Customer_info!$A:$D,4)</f>
        <v>UK</v>
      </c>
      <c r="K283">
        <f>Table1[[#This Row],[Quantity]]*Table1[[#This Row],[UnitPrice]]</f>
        <v>173.94</v>
      </c>
    </row>
    <row r="284" spans="1:11">
      <c r="A284" t="s">
        <v>438</v>
      </c>
      <c r="B284" s="1">
        <v>45322</v>
      </c>
      <c r="C284" t="s">
        <v>439</v>
      </c>
      <c r="D284" t="s">
        <v>20</v>
      </c>
      <c r="E284">
        <v>2</v>
      </c>
      <c r="F284">
        <v>415.7</v>
      </c>
      <c r="G284" t="str">
        <f>VLOOKUP(Table1[[#This Row],[ProductID]],Products!A:D,2)</f>
        <v>Product_39</v>
      </c>
      <c r="H284" t="str">
        <f>VLOOKUP(Table1[[#This Row],[ProductID]],Products!A:D,3)</f>
        <v>Clothing</v>
      </c>
      <c r="I284">
        <f>VLOOKUP(Table1[[#This Row],[ProductID]],Products!$A:$D,4)</f>
        <v>207.85</v>
      </c>
      <c r="J284" t="str">
        <f>VLOOKUP(Table1[[#This Row],[CustomerID]],Customer_info!$A:$D,4)</f>
        <v>Canada</v>
      </c>
      <c r="K284">
        <f>Table1[[#This Row],[Quantity]]*Table1[[#This Row],[UnitPrice]]</f>
        <v>415.7</v>
      </c>
    </row>
    <row r="285" spans="1:11">
      <c r="A285" t="s">
        <v>440</v>
      </c>
      <c r="B285" s="1">
        <v>45398</v>
      </c>
      <c r="C285" t="s">
        <v>391</v>
      </c>
      <c r="D285" t="s">
        <v>231</v>
      </c>
      <c r="E285">
        <v>5</v>
      </c>
      <c r="F285">
        <v>1218.1500000000001</v>
      </c>
      <c r="G285" t="str">
        <f>VLOOKUP(Table1[[#This Row],[ProductID]],Products!A:D,2)</f>
        <v>Product_34</v>
      </c>
      <c r="H285" t="str">
        <f>VLOOKUP(Table1[[#This Row],[ProductID]],Products!A:D,3)</f>
        <v>Sports</v>
      </c>
      <c r="I285">
        <f>VLOOKUP(Table1[[#This Row],[ProductID]],Products!$A:$D,4)</f>
        <v>243.63</v>
      </c>
      <c r="J285" t="str">
        <f>VLOOKUP(Table1[[#This Row],[CustomerID]],Customer_info!$A:$D,4)</f>
        <v>UK</v>
      </c>
      <c r="K285">
        <f>Table1[[#This Row],[Quantity]]*Table1[[#This Row],[UnitPrice]]</f>
        <v>1218.1500000000001</v>
      </c>
    </row>
    <row r="286" spans="1:11">
      <c r="A286" t="s">
        <v>441</v>
      </c>
      <c r="B286" s="1">
        <v>45444</v>
      </c>
      <c r="C286" t="s">
        <v>442</v>
      </c>
      <c r="D286" t="s">
        <v>152</v>
      </c>
      <c r="E286">
        <v>5</v>
      </c>
      <c r="F286">
        <v>1704.25</v>
      </c>
      <c r="G286" t="str">
        <f>VLOOKUP(Table1[[#This Row],[ProductID]],Products!A:D,2)</f>
        <v>Product_38</v>
      </c>
      <c r="H286" t="str">
        <f>VLOOKUP(Table1[[#This Row],[ProductID]],Products!A:D,3)</f>
        <v>Electronics</v>
      </c>
      <c r="I286">
        <f>VLOOKUP(Table1[[#This Row],[ProductID]],Products!$A:$D,4)</f>
        <v>340.85</v>
      </c>
      <c r="J286" t="str">
        <f>VLOOKUP(Table1[[#This Row],[CustomerID]],Customer_info!$A:$D,4)</f>
        <v>UK</v>
      </c>
      <c r="K286">
        <f>Table1[[#This Row],[Quantity]]*Table1[[#This Row],[UnitPrice]]</f>
        <v>1704.25</v>
      </c>
    </row>
    <row r="287" spans="1:11">
      <c r="A287" t="s">
        <v>443</v>
      </c>
      <c r="B287" s="1">
        <v>45349</v>
      </c>
      <c r="C287" t="s">
        <v>95</v>
      </c>
      <c r="D287" t="s">
        <v>152</v>
      </c>
      <c r="E287">
        <v>5</v>
      </c>
      <c r="F287">
        <v>1704.25</v>
      </c>
      <c r="G287" t="str">
        <f>VLOOKUP(Table1[[#This Row],[ProductID]],Products!A:D,2)</f>
        <v>Product_38</v>
      </c>
      <c r="H287" t="str">
        <f>VLOOKUP(Table1[[#This Row],[ProductID]],Products!A:D,3)</f>
        <v>Electronics</v>
      </c>
      <c r="I287">
        <f>VLOOKUP(Table1[[#This Row],[ProductID]],Products!$A:$D,4)</f>
        <v>340.85</v>
      </c>
      <c r="J287" t="str">
        <f>VLOOKUP(Table1[[#This Row],[CustomerID]],Customer_info!$A:$D,4)</f>
        <v>UK</v>
      </c>
      <c r="K287">
        <f>Table1[[#This Row],[Quantity]]*Table1[[#This Row],[UnitPrice]]</f>
        <v>1704.25</v>
      </c>
    </row>
    <row r="288" spans="1:11">
      <c r="A288" t="s">
        <v>444</v>
      </c>
      <c r="B288" s="1">
        <v>45389</v>
      </c>
      <c r="C288" t="s">
        <v>40</v>
      </c>
      <c r="D288" t="s">
        <v>165</v>
      </c>
      <c r="E288">
        <v>5</v>
      </c>
      <c r="F288">
        <v>1309.7</v>
      </c>
      <c r="G288" t="str">
        <f>VLOOKUP(Table1[[#This Row],[ProductID]],Products!A:D,2)</f>
        <v>Product_2</v>
      </c>
      <c r="H288" t="str">
        <f>VLOOKUP(Table1[[#This Row],[ProductID]],Products!A:D,3)</f>
        <v>Electronics</v>
      </c>
      <c r="I288">
        <f>VLOOKUP(Table1[[#This Row],[ProductID]],Products!$A:$D,4)</f>
        <v>261.94</v>
      </c>
      <c r="J288" t="str">
        <f>VLOOKUP(Table1[[#This Row],[CustomerID]],Customer_info!$A:$D,4)</f>
        <v>UK</v>
      </c>
      <c r="K288">
        <f>Table1[[#This Row],[Quantity]]*Table1[[#This Row],[UnitPrice]]</f>
        <v>1309.7</v>
      </c>
    </row>
    <row r="289" spans="1:11">
      <c r="A289" t="s">
        <v>445</v>
      </c>
      <c r="B289" s="1">
        <v>45405</v>
      </c>
      <c r="C289" t="s">
        <v>51</v>
      </c>
      <c r="D289" t="s">
        <v>49</v>
      </c>
      <c r="E289">
        <v>4</v>
      </c>
      <c r="F289">
        <v>1175.2</v>
      </c>
      <c r="G289" t="str">
        <f>VLOOKUP(Table1[[#This Row],[ProductID]],Products!A:D,2)</f>
        <v>Product_31</v>
      </c>
      <c r="H289" t="str">
        <f>VLOOKUP(Table1[[#This Row],[ProductID]],Products!A:D,3)</f>
        <v>Electronics</v>
      </c>
      <c r="I289">
        <f>VLOOKUP(Table1[[#This Row],[ProductID]],Products!$A:$D,4)</f>
        <v>293.8</v>
      </c>
      <c r="J289" t="str">
        <f>VLOOKUP(Table1[[#This Row],[CustomerID]],Customer_info!$A:$D,4)</f>
        <v>US</v>
      </c>
      <c r="K289">
        <f>Table1[[#This Row],[Quantity]]*Table1[[#This Row],[UnitPrice]]</f>
        <v>1175.2</v>
      </c>
    </row>
    <row r="290" spans="1:11">
      <c r="A290" t="s">
        <v>446</v>
      </c>
      <c r="B290" s="1">
        <v>45442</v>
      </c>
      <c r="C290" t="s">
        <v>37</v>
      </c>
      <c r="D290" t="s">
        <v>38</v>
      </c>
      <c r="E290">
        <v>3</v>
      </c>
      <c r="F290">
        <v>1002.96</v>
      </c>
      <c r="G290" t="str">
        <f>VLOOKUP(Table1[[#This Row],[ProductID]],Products!A:D,2)</f>
        <v>Product_28</v>
      </c>
      <c r="H290" t="str">
        <f>VLOOKUP(Table1[[#This Row],[ProductID]],Products!A:D,3)</f>
        <v>Sports</v>
      </c>
      <c r="I290">
        <f>VLOOKUP(Table1[[#This Row],[ProductID]],Products!$A:$D,4)</f>
        <v>334.32</v>
      </c>
      <c r="J290" t="str">
        <f>VLOOKUP(Table1[[#This Row],[CustomerID]],Customer_info!$A:$D,4)</f>
        <v>US</v>
      </c>
      <c r="K290">
        <f>Table1[[#This Row],[Quantity]]*Table1[[#This Row],[UnitPrice]]</f>
        <v>1002.96</v>
      </c>
    </row>
    <row r="291" spans="1:11">
      <c r="A291" t="s">
        <v>447</v>
      </c>
      <c r="B291" s="1">
        <v>45370</v>
      </c>
      <c r="C291" t="s">
        <v>243</v>
      </c>
      <c r="D291" t="s">
        <v>68</v>
      </c>
      <c r="E291">
        <v>4</v>
      </c>
      <c r="F291">
        <v>1609.16</v>
      </c>
      <c r="G291" t="str">
        <f>VLOOKUP(Table1[[#This Row],[ProductID]],Products!A:D,2)</f>
        <v>Product_13</v>
      </c>
      <c r="H291" t="str">
        <f>VLOOKUP(Table1[[#This Row],[ProductID]],Products!A:D,3)</f>
        <v>Home</v>
      </c>
      <c r="I291">
        <f>VLOOKUP(Table1[[#This Row],[ProductID]],Products!$A:$D,4)</f>
        <v>402.29</v>
      </c>
      <c r="J291" t="str">
        <f>VLOOKUP(Table1[[#This Row],[CustomerID]],Customer_info!$A:$D,4)</f>
        <v>India</v>
      </c>
      <c r="K291">
        <f>Table1[[#This Row],[Quantity]]*Table1[[#This Row],[UnitPrice]]</f>
        <v>1609.16</v>
      </c>
    </row>
    <row r="292" spans="1:11">
      <c r="A292" t="s">
        <v>448</v>
      </c>
      <c r="B292" s="1">
        <v>45450</v>
      </c>
      <c r="C292" t="s">
        <v>188</v>
      </c>
      <c r="D292" t="s">
        <v>124</v>
      </c>
      <c r="E292">
        <v>5</v>
      </c>
      <c r="F292">
        <v>198.5</v>
      </c>
      <c r="G292" t="str">
        <f>VLOOKUP(Table1[[#This Row],[ProductID]],Products!A:D,2)</f>
        <v>Product_12</v>
      </c>
      <c r="H292" t="str">
        <f>VLOOKUP(Table1[[#This Row],[ProductID]],Products!A:D,3)</f>
        <v>Electronics</v>
      </c>
      <c r="I292">
        <f>VLOOKUP(Table1[[#This Row],[ProductID]],Products!$A:$D,4)</f>
        <v>39.700000000000003</v>
      </c>
      <c r="J292" t="str">
        <f>VLOOKUP(Table1[[#This Row],[CustomerID]],Customer_info!$A:$D,4)</f>
        <v>UK</v>
      </c>
      <c r="K292">
        <f>Table1[[#This Row],[Quantity]]*Table1[[#This Row],[UnitPrice]]</f>
        <v>198.5</v>
      </c>
    </row>
    <row r="293" spans="1:11">
      <c r="A293" t="s">
        <v>449</v>
      </c>
      <c r="B293" s="1">
        <v>45448</v>
      </c>
      <c r="C293" t="s">
        <v>176</v>
      </c>
      <c r="D293" t="s">
        <v>148</v>
      </c>
      <c r="E293">
        <v>1</v>
      </c>
      <c r="F293">
        <v>339.95</v>
      </c>
      <c r="G293" t="str">
        <f>VLOOKUP(Table1[[#This Row],[ProductID]],Products!A:D,2)</f>
        <v>Product_11</v>
      </c>
      <c r="H293" t="str">
        <f>VLOOKUP(Table1[[#This Row],[ProductID]],Products!A:D,3)</f>
        <v>Electronics</v>
      </c>
      <c r="I293">
        <f>VLOOKUP(Table1[[#This Row],[ProductID]],Products!$A:$D,4)</f>
        <v>339.95</v>
      </c>
      <c r="J293" t="str">
        <f>VLOOKUP(Table1[[#This Row],[CustomerID]],Customer_info!$A:$D,4)</f>
        <v>UK</v>
      </c>
      <c r="K293">
        <f>Table1[[#This Row],[Quantity]]*Table1[[#This Row],[UnitPrice]]</f>
        <v>339.95</v>
      </c>
    </row>
    <row r="294" spans="1:11">
      <c r="A294" t="s">
        <v>450</v>
      </c>
      <c r="B294" s="1">
        <v>45345</v>
      </c>
      <c r="C294" t="s">
        <v>451</v>
      </c>
      <c r="D294" t="s">
        <v>28</v>
      </c>
      <c r="E294">
        <v>1</v>
      </c>
      <c r="F294">
        <v>452.2</v>
      </c>
      <c r="G294" t="str">
        <f>VLOOKUP(Table1[[#This Row],[ProductID]],Products!A:D,2)</f>
        <v>Product_24</v>
      </c>
      <c r="H294" t="str">
        <f>VLOOKUP(Table1[[#This Row],[ProductID]],Products!A:D,3)</f>
        <v>Beauty</v>
      </c>
      <c r="I294">
        <f>VLOOKUP(Table1[[#This Row],[ProductID]],Products!$A:$D,4)</f>
        <v>452.2</v>
      </c>
      <c r="J294" t="str">
        <f>VLOOKUP(Table1[[#This Row],[CustomerID]],Customer_info!$A:$D,4)</f>
        <v>UK</v>
      </c>
      <c r="K294">
        <f>Table1[[#This Row],[Quantity]]*Table1[[#This Row],[UnitPrice]]</f>
        <v>452.2</v>
      </c>
    </row>
    <row r="295" spans="1:11">
      <c r="A295" t="s">
        <v>452</v>
      </c>
      <c r="B295" s="1">
        <v>45359</v>
      </c>
      <c r="C295" t="s">
        <v>307</v>
      </c>
      <c r="D295" t="s">
        <v>11</v>
      </c>
      <c r="E295">
        <v>2</v>
      </c>
      <c r="F295">
        <v>79.739999999999995</v>
      </c>
      <c r="G295" t="str">
        <f>VLOOKUP(Table1[[#This Row],[ProductID]],Products!A:D,2)</f>
        <v>Product_32</v>
      </c>
      <c r="H295" t="str">
        <f>VLOOKUP(Table1[[#This Row],[ProductID]],Products!A:D,3)</f>
        <v>Sports</v>
      </c>
      <c r="I295">
        <f>VLOOKUP(Table1[[#This Row],[ProductID]],Products!$A:$D,4)</f>
        <v>39.869999999999997</v>
      </c>
      <c r="J295" t="str">
        <f>VLOOKUP(Table1[[#This Row],[CustomerID]],Customer_info!$A:$D,4)</f>
        <v>Canada</v>
      </c>
      <c r="K295">
        <f>Table1[[#This Row],[Quantity]]*Table1[[#This Row],[UnitPrice]]</f>
        <v>79.739999999999995</v>
      </c>
    </row>
    <row r="296" spans="1:11">
      <c r="A296" t="s">
        <v>453</v>
      </c>
      <c r="B296" s="1">
        <v>45332</v>
      </c>
      <c r="C296" t="s">
        <v>78</v>
      </c>
      <c r="D296" t="s">
        <v>146</v>
      </c>
      <c r="E296">
        <v>1</v>
      </c>
      <c r="F296">
        <v>332.9</v>
      </c>
      <c r="G296" t="str">
        <f>VLOOKUP(Table1[[#This Row],[ProductID]],Products!A:D,2)</f>
        <v>Product_8</v>
      </c>
      <c r="H296" t="str">
        <f>VLOOKUP(Table1[[#This Row],[ProductID]],Products!A:D,3)</f>
        <v>Electronics</v>
      </c>
      <c r="I296">
        <f>VLOOKUP(Table1[[#This Row],[ProductID]],Products!$A:$D,4)</f>
        <v>332.9</v>
      </c>
      <c r="J296" t="str">
        <f>VLOOKUP(Table1[[#This Row],[CustomerID]],Customer_info!$A:$D,4)</f>
        <v>US</v>
      </c>
      <c r="K296">
        <f>Table1[[#This Row],[Quantity]]*Table1[[#This Row],[UnitPrice]]</f>
        <v>332.9</v>
      </c>
    </row>
    <row r="297" spans="1:11">
      <c r="A297" t="s">
        <v>454</v>
      </c>
      <c r="B297" s="1">
        <v>45336</v>
      </c>
      <c r="C297" t="s">
        <v>235</v>
      </c>
      <c r="D297" t="s">
        <v>160</v>
      </c>
      <c r="E297">
        <v>2</v>
      </c>
      <c r="F297">
        <v>87.16</v>
      </c>
      <c r="G297" t="str">
        <f>VLOOKUP(Table1[[#This Row],[ProductID]],Products!A:D,2)</f>
        <v>Product_37</v>
      </c>
      <c r="H297" t="str">
        <f>VLOOKUP(Table1[[#This Row],[ProductID]],Products!A:D,3)</f>
        <v>Clothing</v>
      </c>
      <c r="I297">
        <f>VLOOKUP(Table1[[#This Row],[ProductID]],Products!$A:$D,4)</f>
        <v>43.58</v>
      </c>
      <c r="J297" t="str">
        <f>VLOOKUP(Table1[[#This Row],[CustomerID]],Customer_info!$A:$D,4)</f>
        <v>US</v>
      </c>
      <c r="K297">
        <f>Table1[[#This Row],[Quantity]]*Table1[[#This Row],[UnitPrice]]</f>
        <v>87.16</v>
      </c>
    </row>
    <row r="298" spans="1:11">
      <c r="A298" t="s">
        <v>455</v>
      </c>
      <c r="B298" s="1">
        <v>45311</v>
      </c>
      <c r="C298" t="s">
        <v>323</v>
      </c>
      <c r="D298" t="s">
        <v>49</v>
      </c>
      <c r="E298">
        <v>5</v>
      </c>
      <c r="F298">
        <v>1469</v>
      </c>
      <c r="G298" t="str">
        <f>VLOOKUP(Table1[[#This Row],[ProductID]],Products!A:D,2)</f>
        <v>Product_31</v>
      </c>
      <c r="H298" t="str">
        <f>VLOOKUP(Table1[[#This Row],[ProductID]],Products!A:D,3)</f>
        <v>Electronics</v>
      </c>
      <c r="I298">
        <f>VLOOKUP(Table1[[#This Row],[ProductID]],Products!$A:$D,4)</f>
        <v>293.8</v>
      </c>
      <c r="J298" t="str">
        <f>VLOOKUP(Table1[[#This Row],[CustomerID]],Customer_info!$A:$D,4)</f>
        <v>US</v>
      </c>
      <c r="K298">
        <f>Table1[[#This Row],[Quantity]]*Table1[[#This Row],[UnitPrice]]</f>
        <v>1469</v>
      </c>
    </row>
    <row r="299" spans="1:11">
      <c r="A299" t="s">
        <v>456</v>
      </c>
      <c r="B299" s="1">
        <v>45292</v>
      </c>
      <c r="C299" t="s">
        <v>211</v>
      </c>
      <c r="D299" t="s">
        <v>28</v>
      </c>
      <c r="E299">
        <v>2</v>
      </c>
      <c r="F299">
        <v>904.4</v>
      </c>
      <c r="G299" t="str">
        <f>VLOOKUP(Table1[[#This Row],[ProductID]],Products!A:D,2)</f>
        <v>Product_24</v>
      </c>
      <c r="H299" t="str">
        <f>VLOOKUP(Table1[[#This Row],[ProductID]],Products!A:D,3)</f>
        <v>Beauty</v>
      </c>
      <c r="I299">
        <f>VLOOKUP(Table1[[#This Row],[ProductID]],Products!$A:$D,4)</f>
        <v>452.2</v>
      </c>
      <c r="J299" t="str">
        <f>VLOOKUP(Table1[[#This Row],[CustomerID]],Customer_info!$A:$D,4)</f>
        <v>US</v>
      </c>
      <c r="K299">
        <f>Table1[[#This Row],[Quantity]]*Table1[[#This Row],[UnitPrice]]</f>
        <v>904.4</v>
      </c>
    </row>
    <row r="300" spans="1:11">
      <c r="A300" t="s">
        <v>457</v>
      </c>
      <c r="B300" s="1">
        <v>45407</v>
      </c>
      <c r="C300" t="s">
        <v>135</v>
      </c>
      <c r="D300" t="s">
        <v>103</v>
      </c>
      <c r="E300">
        <v>4</v>
      </c>
      <c r="F300">
        <v>559.79999999999995</v>
      </c>
      <c r="G300" t="str">
        <f>VLOOKUP(Table1[[#This Row],[ProductID]],Products!A:D,2)</f>
        <v>Product_26</v>
      </c>
      <c r="H300" t="str">
        <f>VLOOKUP(Table1[[#This Row],[ProductID]],Products!A:D,3)</f>
        <v>Beauty</v>
      </c>
      <c r="I300">
        <f>VLOOKUP(Table1[[#This Row],[ProductID]],Products!$A:$D,4)</f>
        <v>139.94999999999999</v>
      </c>
      <c r="J300" t="str">
        <f>VLOOKUP(Table1[[#This Row],[CustomerID]],Customer_info!$A:$D,4)</f>
        <v>India</v>
      </c>
      <c r="K300">
        <f>Table1[[#This Row],[Quantity]]*Table1[[#This Row],[UnitPrice]]</f>
        <v>559.79999999999995</v>
      </c>
    </row>
    <row r="301" spans="1:11">
      <c r="A301" t="s">
        <v>458</v>
      </c>
      <c r="B301" s="1">
        <v>45412</v>
      </c>
      <c r="C301" t="s">
        <v>48</v>
      </c>
      <c r="D301" t="s">
        <v>14</v>
      </c>
      <c r="E301">
        <v>5</v>
      </c>
      <c r="F301">
        <v>1183.45</v>
      </c>
      <c r="G301" t="str">
        <f>VLOOKUP(Table1[[#This Row],[ProductID]],Products!A:D,2)</f>
        <v>Product_17</v>
      </c>
      <c r="H301" t="str">
        <f>VLOOKUP(Table1[[#This Row],[ProductID]],Products!A:D,3)</f>
        <v>Home</v>
      </c>
      <c r="I301">
        <f>VLOOKUP(Table1[[#This Row],[ProductID]],Products!$A:$D,4)</f>
        <v>236.69</v>
      </c>
      <c r="J301" t="str">
        <f>VLOOKUP(Table1[[#This Row],[CustomerID]],Customer_info!$A:$D,4)</f>
        <v>Canada</v>
      </c>
      <c r="K301">
        <f>Table1[[#This Row],[Quantity]]*Table1[[#This Row],[UnitPrice]]</f>
        <v>1183.45</v>
      </c>
    </row>
    <row r="302" spans="1:11">
      <c r="A302" t="s">
        <v>459</v>
      </c>
      <c r="B302" s="1">
        <v>45300</v>
      </c>
      <c r="C302" t="s">
        <v>16</v>
      </c>
      <c r="D302" t="s">
        <v>35</v>
      </c>
      <c r="E302">
        <v>3</v>
      </c>
      <c r="F302">
        <v>877.02</v>
      </c>
      <c r="G302" t="str">
        <f>VLOOKUP(Table1[[#This Row],[ProductID]],Products!A:D,2)</f>
        <v>Product_5</v>
      </c>
      <c r="H302" t="str">
        <f>VLOOKUP(Table1[[#This Row],[ProductID]],Products!A:D,3)</f>
        <v>Sports</v>
      </c>
      <c r="I302">
        <f>VLOOKUP(Table1[[#This Row],[ProductID]],Products!$A:$D,4)</f>
        <v>292.33999999999997</v>
      </c>
      <c r="J302" t="str">
        <f>VLOOKUP(Table1[[#This Row],[CustomerID]],Customer_info!$A:$D,4)</f>
        <v>Canada</v>
      </c>
      <c r="K302">
        <f>Table1[[#This Row],[Quantity]]*Table1[[#This Row],[UnitPrice]]</f>
        <v>877.02</v>
      </c>
    </row>
    <row r="303" spans="1:11">
      <c r="A303" t="s">
        <v>460</v>
      </c>
      <c r="B303" s="1">
        <v>45365</v>
      </c>
      <c r="C303" t="s">
        <v>229</v>
      </c>
      <c r="D303" t="s">
        <v>225</v>
      </c>
      <c r="E303">
        <v>2</v>
      </c>
      <c r="F303">
        <v>927.84</v>
      </c>
      <c r="G303" t="str">
        <f>VLOOKUP(Table1[[#This Row],[ProductID]],Products!A:D,2)</f>
        <v>Product_21</v>
      </c>
      <c r="H303" t="str">
        <f>VLOOKUP(Table1[[#This Row],[ProductID]],Products!A:D,3)</f>
        <v>Electronics</v>
      </c>
      <c r="I303">
        <f>VLOOKUP(Table1[[#This Row],[ProductID]],Products!$A:$D,4)</f>
        <v>463.92</v>
      </c>
      <c r="J303" t="str">
        <f>VLOOKUP(Table1[[#This Row],[CustomerID]],Customer_info!$A:$D,4)</f>
        <v>UK</v>
      </c>
      <c r="K303">
        <f>Table1[[#This Row],[Quantity]]*Table1[[#This Row],[UnitPrice]]</f>
        <v>927.84</v>
      </c>
    </row>
    <row r="304" spans="1:11">
      <c r="A304" t="s">
        <v>461</v>
      </c>
      <c r="B304" s="1">
        <v>45471</v>
      </c>
      <c r="C304" t="s">
        <v>62</v>
      </c>
      <c r="D304" t="s">
        <v>146</v>
      </c>
      <c r="E304">
        <v>3</v>
      </c>
      <c r="F304">
        <v>998.7</v>
      </c>
      <c r="G304" t="str">
        <f>VLOOKUP(Table1[[#This Row],[ProductID]],Products!A:D,2)</f>
        <v>Product_8</v>
      </c>
      <c r="H304" t="str">
        <f>VLOOKUP(Table1[[#This Row],[ProductID]],Products!A:D,3)</f>
        <v>Electronics</v>
      </c>
      <c r="I304">
        <f>VLOOKUP(Table1[[#This Row],[ProductID]],Products!$A:$D,4)</f>
        <v>332.9</v>
      </c>
      <c r="J304" t="str">
        <f>VLOOKUP(Table1[[#This Row],[CustomerID]],Customer_info!$A:$D,4)</f>
        <v>Canada</v>
      </c>
      <c r="K304">
        <f>Table1[[#This Row],[Quantity]]*Table1[[#This Row],[UnitPrice]]</f>
        <v>998.69999999999993</v>
      </c>
    </row>
    <row r="305" spans="1:11">
      <c r="A305" t="s">
        <v>462</v>
      </c>
      <c r="B305" s="1">
        <v>45310</v>
      </c>
      <c r="C305" t="s">
        <v>198</v>
      </c>
      <c r="D305" t="s">
        <v>114</v>
      </c>
      <c r="E305">
        <v>4</v>
      </c>
      <c r="F305">
        <v>908.52</v>
      </c>
      <c r="G305" t="str">
        <f>VLOOKUP(Table1[[#This Row],[ProductID]],Products!A:D,2)</f>
        <v>Product_18</v>
      </c>
      <c r="H305" t="str">
        <f>VLOOKUP(Table1[[#This Row],[ProductID]],Products!A:D,3)</f>
        <v>Electronics</v>
      </c>
      <c r="I305">
        <f>VLOOKUP(Table1[[#This Row],[ProductID]],Products!$A:$D,4)</f>
        <v>227.13</v>
      </c>
      <c r="J305" t="str">
        <f>VLOOKUP(Table1[[#This Row],[CustomerID]],Customer_info!$A:$D,4)</f>
        <v>UK</v>
      </c>
      <c r="K305">
        <f>Table1[[#This Row],[Quantity]]*Table1[[#This Row],[UnitPrice]]</f>
        <v>908.52</v>
      </c>
    </row>
    <row r="306" spans="1:11">
      <c r="A306" t="s">
        <v>463</v>
      </c>
      <c r="B306" s="1">
        <v>45359</v>
      </c>
      <c r="C306" t="s">
        <v>396</v>
      </c>
      <c r="D306" t="s">
        <v>26</v>
      </c>
      <c r="E306">
        <v>2</v>
      </c>
      <c r="F306">
        <v>299.54000000000002</v>
      </c>
      <c r="G306" t="str">
        <f>VLOOKUP(Table1[[#This Row],[ProductID]],Products!A:D,2)</f>
        <v>Product_27</v>
      </c>
      <c r="H306" t="str">
        <f>VLOOKUP(Table1[[#This Row],[ProductID]],Products!A:D,3)</f>
        <v>Beauty</v>
      </c>
      <c r="I306">
        <f>VLOOKUP(Table1[[#This Row],[ProductID]],Products!$A:$D,4)</f>
        <v>149.77000000000001</v>
      </c>
      <c r="J306" t="str">
        <f>VLOOKUP(Table1[[#This Row],[CustomerID]],Customer_info!$A:$D,4)</f>
        <v>US</v>
      </c>
      <c r="K306">
        <f>Table1[[#This Row],[Quantity]]*Table1[[#This Row],[UnitPrice]]</f>
        <v>299.54000000000002</v>
      </c>
    </row>
    <row r="307" spans="1:11">
      <c r="A307" t="s">
        <v>464</v>
      </c>
      <c r="B307" s="1">
        <v>45461</v>
      </c>
      <c r="C307" t="s">
        <v>442</v>
      </c>
      <c r="D307" t="s">
        <v>60</v>
      </c>
      <c r="E307">
        <v>5</v>
      </c>
      <c r="F307">
        <v>457.45</v>
      </c>
      <c r="G307" t="str">
        <f>VLOOKUP(Table1[[#This Row],[ProductID]],Products!A:D,2)</f>
        <v>Product_22</v>
      </c>
      <c r="H307" t="str">
        <f>VLOOKUP(Table1[[#This Row],[ProductID]],Products!A:D,3)</f>
        <v>Clothing</v>
      </c>
      <c r="I307">
        <f>VLOOKUP(Table1[[#This Row],[ProductID]],Products!$A:$D,4)</f>
        <v>91.49</v>
      </c>
      <c r="J307" t="str">
        <f>VLOOKUP(Table1[[#This Row],[CustomerID]],Customer_info!$A:$D,4)</f>
        <v>UK</v>
      </c>
      <c r="K307">
        <f>Table1[[#This Row],[Quantity]]*Table1[[#This Row],[UnitPrice]]</f>
        <v>457.45</v>
      </c>
    </row>
    <row r="308" spans="1:11">
      <c r="A308" t="s">
        <v>465</v>
      </c>
      <c r="B308" s="1">
        <v>45400</v>
      </c>
      <c r="C308" t="s">
        <v>150</v>
      </c>
      <c r="D308" t="s">
        <v>148</v>
      </c>
      <c r="E308">
        <v>2</v>
      </c>
      <c r="F308">
        <v>679.9</v>
      </c>
      <c r="G308" t="str">
        <f>VLOOKUP(Table1[[#This Row],[ProductID]],Products!A:D,2)</f>
        <v>Product_11</v>
      </c>
      <c r="H308" t="str">
        <f>VLOOKUP(Table1[[#This Row],[ProductID]],Products!A:D,3)</f>
        <v>Electronics</v>
      </c>
      <c r="I308">
        <f>VLOOKUP(Table1[[#This Row],[ProductID]],Products!$A:$D,4)</f>
        <v>339.95</v>
      </c>
      <c r="J308" t="str">
        <f>VLOOKUP(Table1[[#This Row],[CustomerID]],Customer_info!$A:$D,4)</f>
        <v>UK</v>
      </c>
      <c r="K308">
        <f>Table1[[#This Row],[Quantity]]*Table1[[#This Row],[UnitPrice]]</f>
        <v>679.9</v>
      </c>
    </row>
    <row r="309" spans="1:11">
      <c r="A309" t="s">
        <v>466</v>
      </c>
      <c r="B309" s="1">
        <v>45431</v>
      </c>
      <c r="C309" t="s">
        <v>467</v>
      </c>
      <c r="D309" t="s">
        <v>225</v>
      </c>
      <c r="E309">
        <v>1</v>
      </c>
      <c r="F309">
        <v>463.92</v>
      </c>
      <c r="G309" t="str">
        <f>VLOOKUP(Table1[[#This Row],[ProductID]],Products!A:D,2)</f>
        <v>Product_21</v>
      </c>
      <c r="H309" t="str">
        <f>VLOOKUP(Table1[[#This Row],[ProductID]],Products!A:D,3)</f>
        <v>Electronics</v>
      </c>
      <c r="I309">
        <f>VLOOKUP(Table1[[#This Row],[ProductID]],Products!$A:$D,4)</f>
        <v>463.92</v>
      </c>
      <c r="J309" t="str">
        <f>VLOOKUP(Table1[[#This Row],[CustomerID]],Customer_info!$A:$D,4)</f>
        <v>India</v>
      </c>
      <c r="K309">
        <f>Table1[[#This Row],[Quantity]]*Table1[[#This Row],[UnitPrice]]</f>
        <v>463.92</v>
      </c>
    </row>
    <row r="310" spans="1:11">
      <c r="A310" t="s">
        <v>468</v>
      </c>
      <c r="B310" s="1">
        <v>45457</v>
      </c>
      <c r="C310" t="s">
        <v>67</v>
      </c>
      <c r="D310" t="s">
        <v>114</v>
      </c>
      <c r="E310">
        <v>2</v>
      </c>
      <c r="F310">
        <v>454.26</v>
      </c>
      <c r="G310" t="str">
        <f>VLOOKUP(Table1[[#This Row],[ProductID]],Products!A:D,2)</f>
        <v>Product_18</v>
      </c>
      <c r="H310" t="str">
        <f>VLOOKUP(Table1[[#This Row],[ProductID]],Products!A:D,3)</f>
        <v>Electronics</v>
      </c>
      <c r="I310">
        <f>VLOOKUP(Table1[[#This Row],[ProductID]],Products!$A:$D,4)</f>
        <v>227.13</v>
      </c>
      <c r="J310" t="str">
        <f>VLOOKUP(Table1[[#This Row],[CustomerID]],Customer_info!$A:$D,4)</f>
        <v>Canada</v>
      </c>
      <c r="K310">
        <f>Table1[[#This Row],[Quantity]]*Table1[[#This Row],[UnitPrice]]</f>
        <v>454.26</v>
      </c>
    </row>
    <row r="311" spans="1:11">
      <c r="A311" t="s">
        <v>469</v>
      </c>
      <c r="B311" s="1">
        <v>45360</v>
      </c>
      <c r="C311" t="s">
        <v>62</v>
      </c>
      <c r="D311" t="s">
        <v>72</v>
      </c>
      <c r="E311">
        <v>2</v>
      </c>
      <c r="F311">
        <v>433.44</v>
      </c>
      <c r="G311" t="str">
        <f>VLOOKUP(Table1[[#This Row],[ProductID]],Products!A:D,2)</f>
        <v>Product_16</v>
      </c>
      <c r="H311" t="str">
        <f>VLOOKUP(Table1[[#This Row],[ProductID]],Products!A:D,3)</f>
        <v>Clothing</v>
      </c>
      <c r="I311">
        <f>VLOOKUP(Table1[[#This Row],[ProductID]],Products!$A:$D,4)</f>
        <v>216.72</v>
      </c>
      <c r="J311" t="str">
        <f>VLOOKUP(Table1[[#This Row],[CustomerID]],Customer_info!$A:$D,4)</f>
        <v>Canada</v>
      </c>
      <c r="K311">
        <f>Table1[[#This Row],[Quantity]]*Table1[[#This Row],[UnitPrice]]</f>
        <v>433.44</v>
      </c>
    </row>
    <row r="312" spans="1:11">
      <c r="A312" t="s">
        <v>470</v>
      </c>
      <c r="B312" s="1">
        <v>45310</v>
      </c>
      <c r="C312" t="s">
        <v>209</v>
      </c>
      <c r="D312" t="s">
        <v>114</v>
      </c>
      <c r="E312">
        <v>2</v>
      </c>
      <c r="F312">
        <v>454.26</v>
      </c>
      <c r="G312" t="str">
        <f>VLOOKUP(Table1[[#This Row],[ProductID]],Products!A:D,2)</f>
        <v>Product_18</v>
      </c>
      <c r="H312" t="str">
        <f>VLOOKUP(Table1[[#This Row],[ProductID]],Products!A:D,3)</f>
        <v>Electronics</v>
      </c>
      <c r="I312">
        <f>VLOOKUP(Table1[[#This Row],[ProductID]],Products!$A:$D,4)</f>
        <v>227.13</v>
      </c>
      <c r="J312" t="str">
        <f>VLOOKUP(Table1[[#This Row],[CustomerID]],Customer_info!$A:$D,4)</f>
        <v>India</v>
      </c>
      <c r="K312">
        <f>Table1[[#This Row],[Quantity]]*Table1[[#This Row],[UnitPrice]]</f>
        <v>454.26</v>
      </c>
    </row>
    <row r="313" spans="1:11">
      <c r="A313" t="s">
        <v>471</v>
      </c>
      <c r="B313" s="1">
        <v>45334</v>
      </c>
      <c r="C313" t="s">
        <v>396</v>
      </c>
      <c r="D313" t="s">
        <v>60</v>
      </c>
      <c r="E313">
        <v>1</v>
      </c>
      <c r="F313">
        <v>91.49</v>
      </c>
      <c r="G313" t="str">
        <f>VLOOKUP(Table1[[#This Row],[ProductID]],Products!A:D,2)</f>
        <v>Product_22</v>
      </c>
      <c r="H313" t="str">
        <f>VLOOKUP(Table1[[#This Row],[ProductID]],Products!A:D,3)</f>
        <v>Clothing</v>
      </c>
      <c r="I313">
        <f>VLOOKUP(Table1[[#This Row],[ProductID]],Products!$A:$D,4)</f>
        <v>91.49</v>
      </c>
      <c r="J313" t="str">
        <f>VLOOKUP(Table1[[#This Row],[CustomerID]],Customer_info!$A:$D,4)</f>
        <v>US</v>
      </c>
      <c r="K313">
        <f>Table1[[#This Row],[Quantity]]*Table1[[#This Row],[UnitPrice]]</f>
        <v>91.49</v>
      </c>
    </row>
    <row r="314" spans="1:11">
      <c r="A314" t="s">
        <v>472</v>
      </c>
      <c r="B314" s="1">
        <v>45444</v>
      </c>
      <c r="C314" t="s">
        <v>247</v>
      </c>
      <c r="D314" t="s">
        <v>160</v>
      </c>
      <c r="E314">
        <v>3</v>
      </c>
      <c r="F314">
        <v>130.74</v>
      </c>
      <c r="G314" t="str">
        <f>VLOOKUP(Table1[[#This Row],[ProductID]],Products!A:D,2)</f>
        <v>Product_37</v>
      </c>
      <c r="H314" t="str">
        <f>VLOOKUP(Table1[[#This Row],[ProductID]],Products!A:D,3)</f>
        <v>Clothing</v>
      </c>
      <c r="I314">
        <f>VLOOKUP(Table1[[#This Row],[ProductID]],Products!$A:$D,4)</f>
        <v>43.58</v>
      </c>
      <c r="J314" t="str">
        <f>VLOOKUP(Table1[[#This Row],[CustomerID]],Customer_info!$A:$D,4)</f>
        <v>US</v>
      </c>
      <c r="K314">
        <f>Table1[[#This Row],[Quantity]]*Table1[[#This Row],[UnitPrice]]</f>
        <v>130.74</v>
      </c>
    </row>
    <row r="315" spans="1:11">
      <c r="A315" t="s">
        <v>473</v>
      </c>
      <c r="B315" s="1">
        <v>45365</v>
      </c>
      <c r="C315" t="s">
        <v>126</v>
      </c>
      <c r="D315" t="s">
        <v>132</v>
      </c>
      <c r="E315">
        <v>5</v>
      </c>
      <c r="F315">
        <v>1689</v>
      </c>
      <c r="G315" t="str">
        <f>VLOOKUP(Table1[[#This Row],[ProductID]],Products!A:D,2)</f>
        <v>Product_3</v>
      </c>
      <c r="H315" t="str">
        <f>VLOOKUP(Table1[[#This Row],[ProductID]],Products!A:D,3)</f>
        <v>Home</v>
      </c>
      <c r="I315">
        <f>VLOOKUP(Table1[[#This Row],[ProductID]],Products!$A:$D,4)</f>
        <v>337.8</v>
      </c>
      <c r="J315" t="str">
        <f>VLOOKUP(Table1[[#This Row],[CustomerID]],Customer_info!$A:$D,4)</f>
        <v>India</v>
      </c>
      <c r="K315">
        <f>Table1[[#This Row],[Quantity]]*Table1[[#This Row],[UnitPrice]]</f>
        <v>1689</v>
      </c>
    </row>
    <row r="316" spans="1:11">
      <c r="A316" t="s">
        <v>474</v>
      </c>
      <c r="B316" s="1">
        <v>45323</v>
      </c>
      <c r="C316" t="s">
        <v>40</v>
      </c>
      <c r="D316" t="s">
        <v>8</v>
      </c>
      <c r="E316">
        <v>4</v>
      </c>
      <c r="F316">
        <v>1678.6</v>
      </c>
      <c r="G316" t="str">
        <f>VLOOKUP(Table1[[#This Row],[ProductID]],Products!A:D,2)</f>
        <v>Product_20</v>
      </c>
      <c r="H316" t="str">
        <f>VLOOKUP(Table1[[#This Row],[ProductID]],Products!A:D,3)</f>
        <v>Sports</v>
      </c>
      <c r="I316">
        <f>VLOOKUP(Table1[[#This Row],[ProductID]],Products!$A:$D,4)</f>
        <v>419.65</v>
      </c>
      <c r="J316" t="str">
        <f>VLOOKUP(Table1[[#This Row],[CustomerID]],Customer_info!$A:$D,4)</f>
        <v>UK</v>
      </c>
      <c r="K316">
        <f>Table1[[#This Row],[Quantity]]*Table1[[#This Row],[UnitPrice]]</f>
        <v>1678.6</v>
      </c>
    </row>
    <row r="317" spans="1:11">
      <c r="A317" t="s">
        <v>475</v>
      </c>
      <c r="B317" s="1">
        <v>45468</v>
      </c>
      <c r="C317" t="s">
        <v>37</v>
      </c>
      <c r="D317" t="s">
        <v>41</v>
      </c>
      <c r="E317">
        <v>4</v>
      </c>
      <c r="F317">
        <v>152.04</v>
      </c>
      <c r="G317" t="str">
        <f>VLOOKUP(Table1[[#This Row],[ProductID]],Products!A:D,2)</f>
        <v>Product_33</v>
      </c>
      <c r="H317" t="str">
        <f>VLOOKUP(Table1[[#This Row],[ProductID]],Products!A:D,3)</f>
        <v>Home</v>
      </c>
      <c r="I317">
        <f>VLOOKUP(Table1[[#This Row],[ProductID]],Products!$A:$D,4)</f>
        <v>38.01</v>
      </c>
      <c r="J317" t="str">
        <f>VLOOKUP(Table1[[#This Row],[CustomerID]],Customer_info!$A:$D,4)</f>
        <v>US</v>
      </c>
      <c r="K317">
        <f>Table1[[#This Row],[Quantity]]*Table1[[#This Row],[UnitPrice]]</f>
        <v>152.04</v>
      </c>
    </row>
    <row r="318" spans="1:11">
      <c r="A318" t="s">
        <v>476</v>
      </c>
      <c r="B318" s="1">
        <v>45471</v>
      </c>
      <c r="C318" t="s">
        <v>139</v>
      </c>
      <c r="D318" t="s">
        <v>23</v>
      </c>
      <c r="E318">
        <v>3</v>
      </c>
      <c r="F318">
        <v>309.89999999999998</v>
      </c>
      <c r="G318" t="str">
        <f>VLOOKUP(Table1[[#This Row],[ProductID]],Products!A:D,2)</f>
        <v>Product_7</v>
      </c>
      <c r="H318" t="str">
        <f>VLOOKUP(Table1[[#This Row],[ProductID]],Products!A:D,3)</f>
        <v>Beauty</v>
      </c>
      <c r="I318">
        <f>VLOOKUP(Table1[[#This Row],[ProductID]],Products!$A:$D,4)</f>
        <v>103.3</v>
      </c>
      <c r="J318" t="str">
        <f>VLOOKUP(Table1[[#This Row],[CustomerID]],Customer_info!$A:$D,4)</f>
        <v>US</v>
      </c>
      <c r="K318">
        <f>Table1[[#This Row],[Quantity]]*Table1[[#This Row],[UnitPrice]]</f>
        <v>309.89999999999998</v>
      </c>
    </row>
    <row r="319" spans="1:11">
      <c r="A319" t="s">
        <v>477</v>
      </c>
      <c r="B319" s="1">
        <v>45361</v>
      </c>
      <c r="C319" t="s">
        <v>57</v>
      </c>
      <c r="D319" t="s">
        <v>124</v>
      </c>
      <c r="E319">
        <v>4</v>
      </c>
      <c r="F319">
        <v>158.80000000000001</v>
      </c>
      <c r="G319" t="str">
        <f>VLOOKUP(Table1[[#This Row],[ProductID]],Products!A:D,2)</f>
        <v>Product_12</v>
      </c>
      <c r="H319" t="str">
        <f>VLOOKUP(Table1[[#This Row],[ProductID]],Products!A:D,3)</f>
        <v>Electronics</v>
      </c>
      <c r="I319">
        <f>VLOOKUP(Table1[[#This Row],[ProductID]],Products!$A:$D,4)</f>
        <v>39.700000000000003</v>
      </c>
      <c r="J319" t="str">
        <f>VLOOKUP(Table1[[#This Row],[CustomerID]],Customer_info!$A:$D,4)</f>
        <v>UK</v>
      </c>
      <c r="K319">
        <f>Table1[[#This Row],[Quantity]]*Table1[[#This Row],[UnitPrice]]</f>
        <v>158.80000000000001</v>
      </c>
    </row>
    <row r="320" spans="1:11">
      <c r="A320" t="s">
        <v>478</v>
      </c>
      <c r="B320" s="1">
        <v>45430</v>
      </c>
      <c r="C320" t="s">
        <v>34</v>
      </c>
      <c r="D320" t="s">
        <v>260</v>
      </c>
      <c r="E320">
        <v>5</v>
      </c>
      <c r="F320">
        <v>978.5</v>
      </c>
      <c r="G320" t="str">
        <f>VLOOKUP(Table1[[#This Row],[ProductID]],Products!A:D,2)</f>
        <v>Product_25</v>
      </c>
      <c r="H320" t="str">
        <f>VLOOKUP(Table1[[#This Row],[ProductID]],Products!A:D,3)</f>
        <v>Clothing</v>
      </c>
      <c r="I320">
        <f>VLOOKUP(Table1[[#This Row],[ProductID]],Products!$A:$D,4)</f>
        <v>195.7</v>
      </c>
      <c r="J320" t="str">
        <f>VLOOKUP(Table1[[#This Row],[CustomerID]],Customer_info!$A:$D,4)</f>
        <v>US</v>
      </c>
      <c r="K320">
        <f>Table1[[#This Row],[Quantity]]*Table1[[#This Row],[UnitPrice]]</f>
        <v>978.5</v>
      </c>
    </row>
    <row r="321" spans="1:11">
      <c r="A321" t="s">
        <v>479</v>
      </c>
      <c r="B321" s="1">
        <v>45404</v>
      </c>
      <c r="C321" t="s">
        <v>105</v>
      </c>
      <c r="D321" t="s">
        <v>196</v>
      </c>
      <c r="E321">
        <v>4</v>
      </c>
      <c r="F321">
        <v>983.48</v>
      </c>
      <c r="G321" t="str">
        <f>VLOOKUP(Table1[[#This Row],[ProductID]],Products!A:D,2)</f>
        <v>Product_23</v>
      </c>
      <c r="H321" t="str">
        <f>VLOOKUP(Table1[[#This Row],[ProductID]],Products!A:D,3)</f>
        <v>Beauty</v>
      </c>
      <c r="I321">
        <f>VLOOKUP(Table1[[#This Row],[ProductID]],Products!$A:$D,4)</f>
        <v>245.87</v>
      </c>
      <c r="J321" t="str">
        <f>VLOOKUP(Table1[[#This Row],[CustomerID]],Customer_info!$A:$D,4)</f>
        <v>UK</v>
      </c>
      <c r="K321">
        <f>Table1[[#This Row],[Quantity]]*Table1[[#This Row],[UnitPrice]]</f>
        <v>983.48</v>
      </c>
    </row>
    <row r="322" spans="1:11">
      <c r="A322" t="s">
        <v>480</v>
      </c>
      <c r="B322" s="1">
        <v>45445</v>
      </c>
      <c r="C322" t="s">
        <v>289</v>
      </c>
      <c r="D322" t="s">
        <v>52</v>
      </c>
      <c r="E322">
        <v>1</v>
      </c>
      <c r="F322">
        <v>85.85</v>
      </c>
      <c r="G322" t="str">
        <f>VLOOKUP(Table1[[#This Row],[ProductID]],Products!A:D,2)</f>
        <v>Product_29</v>
      </c>
      <c r="H322" t="str">
        <f>VLOOKUP(Table1[[#This Row],[ProductID]],Products!A:D,3)</f>
        <v>Beauty</v>
      </c>
      <c r="I322">
        <f>VLOOKUP(Table1[[#This Row],[ProductID]],Products!$A:$D,4)</f>
        <v>85.85</v>
      </c>
      <c r="J322" t="str">
        <f>VLOOKUP(Table1[[#This Row],[CustomerID]],Customer_info!$A:$D,4)</f>
        <v>Canada</v>
      </c>
      <c r="K322">
        <f>Table1[[#This Row],[Quantity]]*Table1[[#This Row],[UnitPrice]]</f>
        <v>85.85</v>
      </c>
    </row>
    <row r="323" spans="1:11">
      <c r="A323" t="s">
        <v>481</v>
      </c>
      <c r="B323" s="1">
        <v>45402</v>
      </c>
      <c r="C323" t="s">
        <v>37</v>
      </c>
      <c r="D323" t="s">
        <v>178</v>
      </c>
      <c r="E323">
        <v>1</v>
      </c>
      <c r="F323">
        <v>217.55</v>
      </c>
      <c r="G323" t="str">
        <f>VLOOKUP(Table1[[#This Row],[ProductID]],Products!A:D,2)</f>
        <v>Product_9</v>
      </c>
      <c r="H323" t="str">
        <f>VLOOKUP(Table1[[#This Row],[ProductID]],Products!A:D,3)</f>
        <v>Home</v>
      </c>
      <c r="I323">
        <f>VLOOKUP(Table1[[#This Row],[ProductID]],Products!$A:$D,4)</f>
        <v>217.55</v>
      </c>
      <c r="J323" t="str">
        <f>VLOOKUP(Table1[[#This Row],[CustomerID]],Customer_info!$A:$D,4)</f>
        <v>US</v>
      </c>
      <c r="K323">
        <f>Table1[[#This Row],[Quantity]]*Table1[[#This Row],[UnitPrice]]</f>
        <v>217.55</v>
      </c>
    </row>
    <row r="324" spans="1:11">
      <c r="A324" t="s">
        <v>482</v>
      </c>
      <c r="B324" s="1">
        <v>45446</v>
      </c>
      <c r="C324" t="s">
        <v>159</v>
      </c>
      <c r="D324" t="s">
        <v>68</v>
      </c>
      <c r="E324">
        <v>3</v>
      </c>
      <c r="F324">
        <v>1206.8699999999999</v>
      </c>
      <c r="G324" t="str">
        <f>VLOOKUP(Table1[[#This Row],[ProductID]],Products!A:D,2)</f>
        <v>Product_13</v>
      </c>
      <c r="H324" t="str">
        <f>VLOOKUP(Table1[[#This Row],[ProductID]],Products!A:D,3)</f>
        <v>Home</v>
      </c>
      <c r="I324">
        <f>VLOOKUP(Table1[[#This Row],[ProductID]],Products!$A:$D,4)</f>
        <v>402.29</v>
      </c>
      <c r="J324" t="str">
        <f>VLOOKUP(Table1[[#This Row],[CustomerID]],Customer_info!$A:$D,4)</f>
        <v>US</v>
      </c>
      <c r="K324">
        <f>Table1[[#This Row],[Quantity]]*Table1[[#This Row],[UnitPrice]]</f>
        <v>1206.8700000000001</v>
      </c>
    </row>
    <row r="325" spans="1:11">
      <c r="A325" t="s">
        <v>483</v>
      </c>
      <c r="B325" s="1">
        <v>45298</v>
      </c>
      <c r="C325" t="s">
        <v>180</v>
      </c>
      <c r="D325" t="s">
        <v>260</v>
      </c>
      <c r="E325">
        <v>3</v>
      </c>
      <c r="F325">
        <v>587.1</v>
      </c>
      <c r="G325" t="str">
        <f>VLOOKUP(Table1[[#This Row],[ProductID]],Products!A:D,2)</f>
        <v>Product_25</v>
      </c>
      <c r="H325" t="str">
        <f>VLOOKUP(Table1[[#This Row],[ProductID]],Products!A:D,3)</f>
        <v>Clothing</v>
      </c>
      <c r="I325">
        <f>VLOOKUP(Table1[[#This Row],[ProductID]],Products!$A:$D,4)</f>
        <v>195.7</v>
      </c>
      <c r="J325" t="str">
        <f>VLOOKUP(Table1[[#This Row],[CustomerID]],Customer_info!$A:$D,4)</f>
        <v>UK</v>
      </c>
      <c r="K325">
        <f>Table1[[#This Row],[Quantity]]*Table1[[#This Row],[UnitPrice]]</f>
        <v>587.09999999999991</v>
      </c>
    </row>
    <row r="326" spans="1:11">
      <c r="A326" t="s">
        <v>484</v>
      </c>
      <c r="B326" s="1">
        <v>45350</v>
      </c>
      <c r="C326" t="s">
        <v>97</v>
      </c>
      <c r="D326" t="s">
        <v>152</v>
      </c>
      <c r="E326">
        <v>1</v>
      </c>
      <c r="F326">
        <v>340.85</v>
      </c>
      <c r="G326" t="str">
        <f>VLOOKUP(Table1[[#This Row],[ProductID]],Products!A:D,2)</f>
        <v>Product_38</v>
      </c>
      <c r="H326" t="str">
        <f>VLOOKUP(Table1[[#This Row],[ProductID]],Products!A:D,3)</f>
        <v>Electronics</v>
      </c>
      <c r="I326">
        <f>VLOOKUP(Table1[[#This Row],[ProductID]],Products!$A:$D,4)</f>
        <v>340.85</v>
      </c>
      <c r="J326" t="str">
        <f>VLOOKUP(Table1[[#This Row],[CustomerID]],Customer_info!$A:$D,4)</f>
        <v>US</v>
      </c>
      <c r="K326">
        <f>Table1[[#This Row],[Quantity]]*Table1[[#This Row],[UnitPrice]]</f>
        <v>340.85</v>
      </c>
    </row>
    <row r="327" spans="1:11">
      <c r="A327" t="s">
        <v>485</v>
      </c>
      <c r="B327" s="1">
        <v>45442</v>
      </c>
      <c r="C327" t="s">
        <v>264</v>
      </c>
      <c r="D327" t="s">
        <v>160</v>
      </c>
      <c r="E327">
        <v>5</v>
      </c>
      <c r="F327">
        <v>217.9</v>
      </c>
      <c r="G327" t="str">
        <f>VLOOKUP(Table1[[#This Row],[ProductID]],Products!A:D,2)</f>
        <v>Product_37</v>
      </c>
      <c r="H327" t="str">
        <f>VLOOKUP(Table1[[#This Row],[ProductID]],Products!A:D,3)</f>
        <v>Clothing</v>
      </c>
      <c r="I327">
        <f>VLOOKUP(Table1[[#This Row],[ProductID]],Products!$A:$D,4)</f>
        <v>43.58</v>
      </c>
      <c r="J327" t="str">
        <f>VLOOKUP(Table1[[#This Row],[CustomerID]],Customer_info!$A:$D,4)</f>
        <v>Canada</v>
      </c>
      <c r="K327">
        <f>Table1[[#This Row],[Quantity]]*Table1[[#This Row],[UnitPrice]]</f>
        <v>217.89999999999998</v>
      </c>
    </row>
    <row r="328" spans="1:11">
      <c r="A328" t="s">
        <v>486</v>
      </c>
      <c r="B328" s="1">
        <v>45464</v>
      </c>
      <c r="C328" t="s">
        <v>22</v>
      </c>
      <c r="D328" t="s">
        <v>68</v>
      </c>
      <c r="E328">
        <v>1</v>
      </c>
      <c r="F328">
        <v>402.29</v>
      </c>
      <c r="G328" t="str">
        <f>VLOOKUP(Table1[[#This Row],[ProductID]],Products!A:D,2)</f>
        <v>Product_13</v>
      </c>
      <c r="H328" t="str">
        <f>VLOOKUP(Table1[[#This Row],[ProductID]],Products!A:D,3)</f>
        <v>Home</v>
      </c>
      <c r="I328">
        <f>VLOOKUP(Table1[[#This Row],[ProductID]],Products!$A:$D,4)</f>
        <v>402.29</v>
      </c>
      <c r="J328" t="str">
        <f>VLOOKUP(Table1[[#This Row],[CustomerID]],Customer_info!$A:$D,4)</f>
        <v>US</v>
      </c>
      <c r="K328">
        <f>Table1[[#This Row],[Quantity]]*Table1[[#This Row],[UnitPrice]]</f>
        <v>402.29</v>
      </c>
    </row>
    <row r="329" spans="1:11">
      <c r="A329" t="s">
        <v>487</v>
      </c>
      <c r="B329" s="1">
        <v>45439</v>
      </c>
      <c r="C329" t="s">
        <v>46</v>
      </c>
      <c r="D329" t="s">
        <v>38</v>
      </c>
      <c r="E329">
        <v>3</v>
      </c>
      <c r="F329">
        <v>1002.96</v>
      </c>
      <c r="G329" t="str">
        <f>VLOOKUP(Table1[[#This Row],[ProductID]],Products!A:D,2)</f>
        <v>Product_28</v>
      </c>
      <c r="H329" t="str">
        <f>VLOOKUP(Table1[[#This Row],[ProductID]],Products!A:D,3)</f>
        <v>Sports</v>
      </c>
      <c r="I329">
        <f>VLOOKUP(Table1[[#This Row],[ProductID]],Products!$A:$D,4)</f>
        <v>334.32</v>
      </c>
      <c r="J329" t="str">
        <f>VLOOKUP(Table1[[#This Row],[CustomerID]],Customer_info!$A:$D,4)</f>
        <v>UK</v>
      </c>
      <c r="K329">
        <f>Table1[[#This Row],[Quantity]]*Table1[[#This Row],[UnitPrice]]</f>
        <v>1002.96</v>
      </c>
    </row>
    <row r="330" spans="1:11">
      <c r="A330" t="s">
        <v>488</v>
      </c>
      <c r="B330" s="1">
        <v>45336</v>
      </c>
      <c r="C330" t="s">
        <v>46</v>
      </c>
      <c r="D330" t="s">
        <v>17</v>
      </c>
      <c r="E330">
        <v>1</v>
      </c>
      <c r="F330">
        <v>394.46</v>
      </c>
      <c r="G330" t="str">
        <f>VLOOKUP(Table1[[#This Row],[ProductID]],Products!A:D,2)</f>
        <v>Product_6</v>
      </c>
      <c r="H330" t="str">
        <f>VLOOKUP(Table1[[#This Row],[ProductID]],Products!A:D,3)</f>
        <v>Clothing</v>
      </c>
      <c r="I330">
        <f>VLOOKUP(Table1[[#This Row],[ProductID]],Products!$A:$D,4)</f>
        <v>394.46</v>
      </c>
      <c r="J330" t="str">
        <f>VLOOKUP(Table1[[#This Row],[CustomerID]],Customer_info!$A:$D,4)</f>
        <v>UK</v>
      </c>
      <c r="K330">
        <f>Table1[[#This Row],[Quantity]]*Table1[[#This Row],[UnitPrice]]</f>
        <v>394.46</v>
      </c>
    </row>
    <row r="331" spans="1:11">
      <c r="A331" t="s">
        <v>489</v>
      </c>
      <c r="B331" s="1">
        <v>45424</v>
      </c>
      <c r="C331" t="s">
        <v>176</v>
      </c>
      <c r="D331" t="s">
        <v>124</v>
      </c>
      <c r="E331">
        <v>4</v>
      </c>
      <c r="F331">
        <v>158.80000000000001</v>
      </c>
      <c r="G331" t="str">
        <f>VLOOKUP(Table1[[#This Row],[ProductID]],Products!A:D,2)</f>
        <v>Product_12</v>
      </c>
      <c r="H331" t="str">
        <f>VLOOKUP(Table1[[#This Row],[ProductID]],Products!A:D,3)</f>
        <v>Electronics</v>
      </c>
      <c r="I331">
        <f>VLOOKUP(Table1[[#This Row],[ProductID]],Products!$A:$D,4)</f>
        <v>39.700000000000003</v>
      </c>
      <c r="J331" t="str">
        <f>VLOOKUP(Table1[[#This Row],[CustomerID]],Customer_info!$A:$D,4)</f>
        <v>UK</v>
      </c>
      <c r="K331">
        <f>Table1[[#This Row],[Quantity]]*Table1[[#This Row],[UnitPrice]]</f>
        <v>158.80000000000001</v>
      </c>
    </row>
    <row r="332" spans="1:11">
      <c r="A332" t="s">
        <v>490</v>
      </c>
      <c r="B332" s="1">
        <v>45363</v>
      </c>
      <c r="C332" t="s">
        <v>214</v>
      </c>
      <c r="D332" t="s">
        <v>136</v>
      </c>
      <c r="E332">
        <v>4</v>
      </c>
      <c r="F332">
        <v>1724.88</v>
      </c>
      <c r="G332" t="str">
        <f>VLOOKUP(Table1[[#This Row],[ProductID]],Products!A:D,2)</f>
        <v>Product_1</v>
      </c>
      <c r="H332" t="str">
        <f>VLOOKUP(Table1[[#This Row],[ProductID]],Products!A:D,3)</f>
        <v>Electronics</v>
      </c>
      <c r="I332">
        <f>VLOOKUP(Table1[[#This Row],[ProductID]],Products!$A:$D,4)</f>
        <v>431.22</v>
      </c>
      <c r="J332" t="str">
        <f>VLOOKUP(Table1[[#This Row],[CustomerID]],Customer_info!$A:$D,4)</f>
        <v>UK</v>
      </c>
      <c r="K332">
        <f>Table1[[#This Row],[Quantity]]*Table1[[#This Row],[UnitPrice]]</f>
        <v>1724.88</v>
      </c>
    </row>
    <row r="333" spans="1:11">
      <c r="A333" t="s">
        <v>491</v>
      </c>
      <c r="B333" s="1">
        <v>45441</v>
      </c>
      <c r="C333" t="s">
        <v>54</v>
      </c>
      <c r="D333" t="s">
        <v>35</v>
      </c>
      <c r="E333">
        <v>2</v>
      </c>
      <c r="F333">
        <v>584.67999999999995</v>
      </c>
      <c r="G333" t="str">
        <f>VLOOKUP(Table1[[#This Row],[ProductID]],Products!A:D,2)</f>
        <v>Product_5</v>
      </c>
      <c r="H333" t="str">
        <f>VLOOKUP(Table1[[#This Row],[ProductID]],Products!A:D,3)</f>
        <v>Sports</v>
      </c>
      <c r="I333">
        <f>VLOOKUP(Table1[[#This Row],[ProductID]],Products!$A:$D,4)</f>
        <v>292.33999999999997</v>
      </c>
      <c r="J333" t="str">
        <f>VLOOKUP(Table1[[#This Row],[CustomerID]],Customer_info!$A:$D,4)</f>
        <v>India</v>
      </c>
      <c r="K333">
        <f>Table1[[#This Row],[Quantity]]*Table1[[#This Row],[UnitPrice]]</f>
        <v>584.67999999999995</v>
      </c>
    </row>
    <row r="334" spans="1:11">
      <c r="A334" t="s">
        <v>492</v>
      </c>
      <c r="B334" s="1">
        <v>45454</v>
      </c>
      <c r="C334" t="s">
        <v>249</v>
      </c>
      <c r="D334" t="s">
        <v>38</v>
      </c>
      <c r="E334">
        <v>4</v>
      </c>
      <c r="F334">
        <v>1337.28</v>
      </c>
      <c r="G334" t="str">
        <f>VLOOKUP(Table1[[#This Row],[ProductID]],Products!A:D,2)</f>
        <v>Product_28</v>
      </c>
      <c r="H334" t="str">
        <f>VLOOKUP(Table1[[#This Row],[ProductID]],Products!A:D,3)</f>
        <v>Sports</v>
      </c>
      <c r="I334">
        <f>VLOOKUP(Table1[[#This Row],[ProductID]],Products!$A:$D,4)</f>
        <v>334.32</v>
      </c>
      <c r="J334" t="str">
        <f>VLOOKUP(Table1[[#This Row],[CustomerID]],Customer_info!$A:$D,4)</f>
        <v>Canada</v>
      </c>
      <c r="K334">
        <f>Table1[[#This Row],[Quantity]]*Table1[[#This Row],[UnitPrice]]</f>
        <v>1337.28</v>
      </c>
    </row>
    <row r="335" spans="1:11">
      <c r="A335" t="s">
        <v>493</v>
      </c>
      <c r="B335" s="1">
        <v>45315</v>
      </c>
      <c r="C335" t="s">
        <v>439</v>
      </c>
      <c r="D335" t="s">
        <v>17</v>
      </c>
      <c r="E335">
        <v>4</v>
      </c>
      <c r="F335">
        <v>1577.84</v>
      </c>
      <c r="G335" t="str">
        <f>VLOOKUP(Table1[[#This Row],[ProductID]],Products!A:D,2)</f>
        <v>Product_6</v>
      </c>
      <c r="H335" t="str">
        <f>VLOOKUP(Table1[[#This Row],[ProductID]],Products!A:D,3)</f>
        <v>Clothing</v>
      </c>
      <c r="I335">
        <f>VLOOKUP(Table1[[#This Row],[ProductID]],Products!$A:$D,4)</f>
        <v>394.46</v>
      </c>
      <c r="J335" t="str">
        <f>VLOOKUP(Table1[[#This Row],[CustomerID]],Customer_info!$A:$D,4)</f>
        <v>Canada</v>
      </c>
      <c r="K335">
        <f>Table1[[#This Row],[Quantity]]*Table1[[#This Row],[UnitPrice]]</f>
        <v>1577.84</v>
      </c>
    </row>
    <row r="336" spans="1:11">
      <c r="A336" t="s">
        <v>494</v>
      </c>
      <c r="B336" s="1">
        <v>45381</v>
      </c>
      <c r="C336" t="s">
        <v>209</v>
      </c>
      <c r="D336" t="s">
        <v>55</v>
      </c>
      <c r="E336">
        <v>4</v>
      </c>
      <c r="F336">
        <v>522.6</v>
      </c>
      <c r="G336" t="str">
        <f>VLOOKUP(Table1[[#This Row],[ProductID]],Products!A:D,2)</f>
        <v>Product_40</v>
      </c>
      <c r="H336" t="str">
        <f>VLOOKUP(Table1[[#This Row],[ProductID]],Products!A:D,3)</f>
        <v>Sports</v>
      </c>
      <c r="I336">
        <f>VLOOKUP(Table1[[#This Row],[ProductID]],Products!$A:$D,4)</f>
        <v>130.65</v>
      </c>
      <c r="J336" t="str">
        <f>VLOOKUP(Table1[[#This Row],[CustomerID]],Customer_info!$A:$D,4)</f>
        <v>India</v>
      </c>
      <c r="K336">
        <f>Table1[[#This Row],[Quantity]]*Table1[[#This Row],[UnitPrice]]</f>
        <v>522.6</v>
      </c>
    </row>
    <row r="337" spans="1:11">
      <c r="A337" t="s">
        <v>495</v>
      </c>
      <c r="B337" s="1">
        <v>45377</v>
      </c>
      <c r="C337" t="s">
        <v>65</v>
      </c>
      <c r="D337" t="s">
        <v>160</v>
      </c>
      <c r="E337">
        <v>4</v>
      </c>
      <c r="F337">
        <v>174.32</v>
      </c>
      <c r="G337" t="str">
        <f>VLOOKUP(Table1[[#This Row],[ProductID]],Products!A:D,2)</f>
        <v>Product_37</v>
      </c>
      <c r="H337" t="str">
        <f>VLOOKUP(Table1[[#This Row],[ProductID]],Products!A:D,3)</f>
        <v>Clothing</v>
      </c>
      <c r="I337">
        <f>VLOOKUP(Table1[[#This Row],[ProductID]],Products!$A:$D,4)</f>
        <v>43.58</v>
      </c>
      <c r="J337" t="str">
        <f>VLOOKUP(Table1[[#This Row],[CustomerID]],Customer_info!$A:$D,4)</f>
        <v>India</v>
      </c>
      <c r="K337">
        <f>Table1[[#This Row],[Quantity]]*Table1[[#This Row],[UnitPrice]]</f>
        <v>174.32</v>
      </c>
    </row>
    <row r="338" spans="1:11">
      <c r="A338" t="s">
        <v>496</v>
      </c>
      <c r="B338" s="1">
        <v>45463</v>
      </c>
      <c r="C338" t="s">
        <v>295</v>
      </c>
      <c r="D338" t="s">
        <v>28</v>
      </c>
      <c r="E338">
        <v>3</v>
      </c>
      <c r="F338">
        <v>1356.6</v>
      </c>
      <c r="G338" t="str">
        <f>VLOOKUP(Table1[[#This Row],[ProductID]],Products!A:D,2)</f>
        <v>Product_24</v>
      </c>
      <c r="H338" t="str">
        <f>VLOOKUP(Table1[[#This Row],[ProductID]],Products!A:D,3)</f>
        <v>Beauty</v>
      </c>
      <c r="I338">
        <f>VLOOKUP(Table1[[#This Row],[ProductID]],Products!$A:$D,4)</f>
        <v>452.2</v>
      </c>
      <c r="J338" t="str">
        <f>VLOOKUP(Table1[[#This Row],[CustomerID]],Customer_info!$A:$D,4)</f>
        <v>US</v>
      </c>
      <c r="K338">
        <f>Table1[[#This Row],[Quantity]]*Table1[[#This Row],[UnitPrice]]</f>
        <v>1356.6</v>
      </c>
    </row>
    <row r="339" spans="1:11">
      <c r="A339" t="s">
        <v>497</v>
      </c>
      <c r="B339" s="1">
        <v>45333</v>
      </c>
      <c r="C339" t="s">
        <v>62</v>
      </c>
      <c r="D339" t="s">
        <v>72</v>
      </c>
      <c r="E339">
        <v>1</v>
      </c>
      <c r="F339">
        <v>216.72</v>
      </c>
      <c r="G339" t="str">
        <f>VLOOKUP(Table1[[#This Row],[ProductID]],Products!A:D,2)</f>
        <v>Product_16</v>
      </c>
      <c r="H339" t="str">
        <f>VLOOKUP(Table1[[#This Row],[ProductID]],Products!A:D,3)</f>
        <v>Clothing</v>
      </c>
      <c r="I339">
        <f>VLOOKUP(Table1[[#This Row],[ProductID]],Products!$A:$D,4)</f>
        <v>216.72</v>
      </c>
      <c r="J339" t="str">
        <f>VLOOKUP(Table1[[#This Row],[CustomerID]],Customer_info!$A:$D,4)</f>
        <v>Canada</v>
      </c>
      <c r="K339">
        <f>Table1[[#This Row],[Quantity]]*Table1[[#This Row],[UnitPrice]]</f>
        <v>216.72</v>
      </c>
    </row>
    <row r="340" spans="1:11">
      <c r="A340" t="s">
        <v>498</v>
      </c>
      <c r="B340" s="1">
        <v>45397</v>
      </c>
      <c r="C340" t="s">
        <v>159</v>
      </c>
      <c r="D340" t="s">
        <v>160</v>
      </c>
      <c r="E340">
        <v>3</v>
      </c>
      <c r="F340">
        <v>130.74</v>
      </c>
      <c r="G340" t="str">
        <f>VLOOKUP(Table1[[#This Row],[ProductID]],Products!A:D,2)</f>
        <v>Product_37</v>
      </c>
      <c r="H340" t="str">
        <f>VLOOKUP(Table1[[#This Row],[ProductID]],Products!A:D,3)</f>
        <v>Clothing</v>
      </c>
      <c r="I340">
        <f>VLOOKUP(Table1[[#This Row],[ProductID]],Products!$A:$D,4)</f>
        <v>43.58</v>
      </c>
      <c r="J340" t="str">
        <f>VLOOKUP(Table1[[#This Row],[CustomerID]],Customer_info!$A:$D,4)</f>
        <v>US</v>
      </c>
      <c r="K340">
        <f>Table1[[#This Row],[Quantity]]*Table1[[#This Row],[UnitPrice]]</f>
        <v>130.74</v>
      </c>
    </row>
    <row r="341" spans="1:11">
      <c r="A341" t="s">
        <v>499</v>
      </c>
      <c r="B341" s="1">
        <v>45365</v>
      </c>
      <c r="C341" t="s">
        <v>297</v>
      </c>
      <c r="D341" t="s">
        <v>35</v>
      </c>
      <c r="E341">
        <v>4</v>
      </c>
      <c r="F341">
        <v>1169.3599999999999</v>
      </c>
      <c r="G341" t="str">
        <f>VLOOKUP(Table1[[#This Row],[ProductID]],Products!A:D,2)</f>
        <v>Product_5</v>
      </c>
      <c r="H341" t="str">
        <f>VLOOKUP(Table1[[#This Row],[ProductID]],Products!A:D,3)</f>
        <v>Sports</v>
      </c>
      <c r="I341">
        <f>VLOOKUP(Table1[[#This Row],[ProductID]],Products!$A:$D,4)</f>
        <v>292.33999999999997</v>
      </c>
      <c r="J341" t="str">
        <f>VLOOKUP(Table1[[#This Row],[CustomerID]],Customer_info!$A:$D,4)</f>
        <v>UK</v>
      </c>
      <c r="K341">
        <f>Table1[[#This Row],[Quantity]]*Table1[[#This Row],[UnitPrice]]</f>
        <v>1169.3599999999999</v>
      </c>
    </row>
    <row r="342" spans="1:11">
      <c r="A342" t="s">
        <v>500</v>
      </c>
      <c r="B342" s="1">
        <v>45432</v>
      </c>
      <c r="C342" t="s">
        <v>141</v>
      </c>
      <c r="D342" t="s">
        <v>152</v>
      </c>
      <c r="E342">
        <v>4</v>
      </c>
      <c r="F342">
        <v>1363.4</v>
      </c>
      <c r="G342" t="str">
        <f>VLOOKUP(Table1[[#This Row],[ProductID]],Products!A:D,2)</f>
        <v>Product_38</v>
      </c>
      <c r="H342" t="str">
        <f>VLOOKUP(Table1[[#This Row],[ProductID]],Products!A:D,3)</f>
        <v>Electronics</v>
      </c>
      <c r="I342">
        <f>VLOOKUP(Table1[[#This Row],[ProductID]],Products!$A:$D,4)</f>
        <v>340.85</v>
      </c>
      <c r="J342" t="str">
        <f>VLOOKUP(Table1[[#This Row],[CustomerID]],Customer_info!$A:$D,4)</f>
        <v>India</v>
      </c>
      <c r="K342">
        <f>Table1[[#This Row],[Quantity]]*Table1[[#This Row],[UnitPrice]]</f>
        <v>1363.4</v>
      </c>
    </row>
    <row r="343" spans="1:11">
      <c r="A343" t="s">
        <v>501</v>
      </c>
      <c r="B343" s="1">
        <v>45408</v>
      </c>
      <c r="C343" t="s">
        <v>145</v>
      </c>
      <c r="D343" t="s">
        <v>35</v>
      </c>
      <c r="E343">
        <v>1</v>
      </c>
      <c r="F343">
        <v>292.33999999999997</v>
      </c>
      <c r="G343" t="str">
        <f>VLOOKUP(Table1[[#This Row],[ProductID]],Products!A:D,2)</f>
        <v>Product_5</v>
      </c>
      <c r="H343" t="str">
        <f>VLOOKUP(Table1[[#This Row],[ProductID]],Products!A:D,3)</f>
        <v>Sports</v>
      </c>
      <c r="I343">
        <f>VLOOKUP(Table1[[#This Row],[ProductID]],Products!$A:$D,4)</f>
        <v>292.33999999999997</v>
      </c>
      <c r="J343" t="str">
        <f>VLOOKUP(Table1[[#This Row],[CustomerID]],Customer_info!$A:$D,4)</f>
        <v>UK</v>
      </c>
      <c r="K343">
        <f>Table1[[#This Row],[Quantity]]*Table1[[#This Row],[UnitPrice]]</f>
        <v>292.33999999999997</v>
      </c>
    </row>
    <row r="344" spans="1:11">
      <c r="A344" t="s">
        <v>502</v>
      </c>
      <c r="B344" s="1">
        <v>45372</v>
      </c>
      <c r="C344" t="s">
        <v>182</v>
      </c>
      <c r="D344" t="s">
        <v>122</v>
      </c>
      <c r="E344">
        <v>1</v>
      </c>
      <c r="F344">
        <v>87.14</v>
      </c>
      <c r="G344" t="str">
        <f>VLOOKUP(Table1[[#This Row],[ProductID]],Products!A:D,2)</f>
        <v>Product_35</v>
      </c>
      <c r="H344" t="str">
        <f>VLOOKUP(Table1[[#This Row],[ProductID]],Products!A:D,3)</f>
        <v>Sports</v>
      </c>
      <c r="I344">
        <f>VLOOKUP(Table1[[#This Row],[ProductID]],Products!$A:$D,4)</f>
        <v>87.14</v>
      </c>
      <c r="J344" t="str">
        <f>VLOOKUP(Table1[[#This Row],[CustomerID]],Customer_info!$A:$D,4)</f>
        <v>Canada</v>
      </c>
      <c r="K344">
        <f>Table1[[#This Row],[Quantity]]*Table1[[#This Row],[UnitPrice]]</f>
        <v>87.14</v>
      </c>
    </row>
    <row r="345" spans="1:11">
      <c r="A345" t="s">
        <v>503</v>
      </c>
      <c r="B345" s="1">
        <v>45374</v>
      </c>
      <c r="C345" t="s">
        <v>431</v>
      </c>
      <c r="D345" t="s">
        <v>81</v>
      </c>
      <c r="E345">
        <v>3</v>
      </c>
      <c r="F345">
        <v>1299.8399999999999</v>
      </c>
      <c r="G345" t="str">
        <f>VLOOKUP(Table1[[#This Row],[ProductID]],Products!A:D,2)</f>
        <v>Product_10</v>
      </c>
      <c r="H345" t="str">
        <f>VLOOKUP(Table1[[#This Row],[ProductID]],Products!A:D,3)</f>
        <v>Beauty</v>
      </c>
      <c r="I345">
        <f>VLOOKUP(Table1[[#This Row],[ProductID]],Products!$A:$D,4)</f>
        <v>433.28</v>
      </c>
      <c r="J345" t="str">
        <f>VLOOKUP(Table1[[#This Row],[CustomerID]],Customer_info!$A:$D,4)</f>
        <v>UK</v>
      </c>
      <c r="K345">
        <f>Table1[[#This Row],[Quantity]]*Table1[[#This Row],[UnitPrice]]</f>
        <v>1299.8399999999999</v>
      </c>
    </row>
    <row r="346" spans="1:11">
      <c r="A346" t="s">
        <v>504</v>
      </c>
      <c r="B346" s="1">
        <v>45395</v>
      </c>
      <c r="C346" t="s">
        <v>89</v>
      </c>
      <c r="D346" t="s">
        <v>35</v>
      </c>
      <c r="E346">
        <v>1</v>
      </c>
      <c r="F346">
        <v>292.33999999999997</v>
      </c>
      <c r="G346" t="str">
        <f>VLOOKUP(Table1[[#This Row],[ProductID]],Products!A:D,2)</f>
        <v>Product_5</v>
      </c>
      <c r="H346" t="str">
        <f>VLOOKUP(Table1[[#This Row],[ProductID]],Products!A:D,3)</f>
        <v>Sports</v>
      </c>
      <c r="I346">
        <f>VLOOKUP(Table1[[#This Row],[ProductID]],Products!$A:$D,4)</f>
        <v>292.33999999999997</v>
      </c>
      <c r="J346" t="str">
        <f>VLOOKUP(Table1[[#This Row],[CustomerID]],Customer_info!$A:$D,4)</f>
        <v>UK</v>
      </c>
      <c r="K346">
        <f>Table1[[#This Row],[Quantity]]*Table1[[#This Row],[UnitPrice]]</f>
        <v>292.33999999999997</v>
      </c>
    </row>
    <row r="347" spans="1:11">
      <c r="A347" t="s">
        <v>505</v>
      </c>
      <c r="B347" s="1">
        <v>45292</v>
      </c>
      <c r="C347" t="s">
        <v>139</v>
      </c>
      <c r="D347" t="s">
        <v>44</v>
      </c>
      <c r="E347">
        <v>5</v>
      </c>
      <c r="F347">
        <v>1363.9</v>
      </c>
      <c r="G347" t="str">
        <f>VLOOKUP(Table1[[#This Row],[ProductID]],Products!A:D,2)</f>
        <v>Product_15</v>
      </c>
      <c r="H347" t="str">
        <f>VLOOKUP(Table1[[#This Row],[ProductID]],Products!A:D,3)</f>
        <v>Clothing</v>
      </c>
      <c r="I347">
        <f>VLOOKUP(Table1[[#This Row],[ProductID]],Products!$A:$D,4)</f>
        <v>272.77999999999997</v>
      </c>
      <c r="J347" t="str">
        <f>VLOOKUP(Table1[[#This Row],[CustomerID]],Customer_info!$A:$D,4)</f>
        <v>US</v>
      </c>
      <c r="K347">
        <f>Table1[[#This Row],[Quantity]]*Table1[[#This Row],[UnitPrice]]</f>
        <v>1363.8999999999999</v>
      </c>
    </row>
    <row r="348" spans="1:11">
      <c r="A348" t="s">
        <v>506</v>
      </c>
      <c r="B348" s="1">
        <v>45410</v>
      </c>
      <c r="C348" t="s">
        <v>442</v>
      </c>
      <c r="D348" t="s">
        <v>63</v>
      </c>
      <c r="E348">
        <v>5</v>
      </c>
      <c r="F348">
        <v>289.89999999999998</v>
      </c>
      <c r="G348" t="str">
        <f>VLOOKUP(Table1[[#This Row],[ProductID]],Products!A:D,2)</f>
        <v>Product_19</v>
      </c>
      <c r="H348" t="str">
        <f>VLOOKUP(Table1[[#This Row],[ProductID]],Products!A:D,3)</f>
        <v>Sports</v>
      </c>
      <c r="I348">
        <f>VLOOKUP(Table1[[#This Row],[ProductID]],Products!$A:$D,4)</f>
        <v>57.98</v>
      </c>
      <c r="J348" t="str">
        <f>VLOOKUP(Table1[[#This Row],[CustomerID]],Customer_info!$A:$D,4)</f>
        <v>UK</v>
      </c>
      <c r="K348">
        <f>Table1[[#This Row],[Quantity]]*Table1[[#This Row],[UnitPrice]]</f>
        <v>289.89999999999998</v>
      </c>
    </row>
    <row r="349" spans="1:11">
      <c r="A349" t="s">
        <v>507</v>
      </c>
      <c r="B349" s="1">
        <v>45305</v>
      </c>
      <c r="C349" t="s">
        <v>111</v>
      </c>
      <c r="D349" t="s">
        <v>108</v>
      </c>
      <c r="E349">
        <v>4</v>
      </c>
      <c r="F349">
        <v>197</v>
      </c>
      <c r="G349" t="str">
        <f>VLOOKUP(Table1[[#This Row],[ProductID]],Products!A:D,2)</f>
        <v>Product_36</v>
      </c>
      <c r="H349" t="str">
        <f>VLOOKUP(Table1[[#This Row],[ProductID]],Products!A:D,3)</f>
        <v>Sports</v>
      </c>
      <c r="I349">
        <f>VLOOKUP(Table1[[#This Row],[ProductID]],Products!$A:$D,4)</f>
        <v>49.25</v>
      </c>
      <c r="J349" t="str">
        <f>VLOOKUP(Table1[[#This Row],[CustomerID]],Customer_info!$A:$D,4)</f>
        <v>UK</v>
      </c>
      <c r="K349">
        <f>Table1[[#This Row],[Quantity]]*Table1[[#This Row],[UnitPrice]]</f>
        <v>197</v>
      </c>
    </row>
    <row r="350" spans="1:11">
      <c r="A350" t="s">
        <v>508</v>
      </c>
      <c r="B350" s="1">
        <v>45424</v>
      </c>
      <c r="C350" t="s">
        <v>195</v>
      </c>
      <c r="D350" t="s">
        <v>108</v>
      </c>
      <c r="E350">
        <v>2</v>
      </c>
      <c r="F350">
        <v>98.5</v>
      </c>
      <c r="G350" t="str">
        <f>VLOOKUP(Table1[[#This Row],[ProductID]],Products!A:D,2)</f>
        <v>Product_36</v>
      </c>
      <c r="H350" t="str">
        <f>VLOOKUP(Table1[[#This Row],[ProductID]],Products!A:D,3)</f>
        <v>Sports</v>
      </c>
      <c r="I350">
        <f>VLOOKUP(Table1[[#This Row],[ProductID]],Products!$A:$D,4)</f>
        <v>49.25</v>
      </c>
      <c r="J350" t="str">
        <f>VLOOKUP(Table1[[#This Row],[CustomerID]],Customer_info!$A:$D,4)</f>
        <v>UK</v>
      </c>
      <c r="K350">
        <f>Table1[[#This Row],[Quantity]]*Table1[[#This Row],[UnitPrice]]</f>
        <v>98.5</v>
      </c>
    </row>
    <row r="351" spans="1:11">
      <c r="A351" t="s">
        <v>509</v>
      </c>
      <c r="B351" s="1">
        <v>45451</v>
      </c>
      <c r="C351" t="s">
        <v>346</v>
      </c>
      <c r="D351" t="s">
        <v>196</v>
      </c>
      <c r="E351">
        <v>3</v>
      </c>
      <c r="F351">
        <v>737.61</v>
      </c>
      <c r="G351" t="str">
        <f>VLOOKUP(Table1[[#This Row],[ProductID]],Products!A:D,2)</f>
        <v>Product_23</v>
      </c>
      <c r="H351" t="str">
        <f>VLOOKUP(Table1[[#This Row],[ProductID]],Products!A:D,3)</f>
        <v>Beauty</v>
      </c>
      <c r="I351">
        <f>VLOOKUP(Table1[[#This Row],[ProductID]],Products!$A:$D,4)</f>
        <v>245.87</v>
      </c>
      <c r="J351" t="str">
        <f>VLOOKUP(Table1[[#This Row],[CustomerID]],Customer_info!$A:$D,4)</f>
        <v>Canada</v>
      </c>
      <c r="K351">
        <f>Table1[[#This Row],[Quantity]]*Table1[[#This Row],[UnitPrice]]</f>
        <v>737.61</v>
      </c>
    </row>
    <row r="352" spans="1:11">
      <c r="A352" t="s">
        <v>510</v>
      </c>
      <c r="B352" s="1">
        <v>45452</v>
      </c>
      <c r="C352" t="s">
        <v>310</v>
      </c>
      <c r="D352" t="s">
        <v>129</v>
      </c>
      <c r="E352">
        <v>4</v>
      </c>
      <c r="F352">
        <v>466.68</v>
      </c>
      <c r="G352" t="str">
        <f>VLOOKUP(Table1[[#This Row],[ProductID]],Products!A:D,2)</f>
        <v>Product_30</v>
      </c>
      <c r="H352" t="str">
        <f>VLOOKUP(Table1[[#This Row],[ProductID]],Products!A:D,3)</f>
        <v>Home</v>
      </c>
      <c r="I352">
        <f>VLOOKUP(Table1[[#This Row],[ProductID]],Products!$A:$D,4)</f>
        <v>116.67</v>
      </c>
      <c r="J352" t="str">
        <f>VLOOKUP(Table1[[#This Row],[CustomerID]],Customer_info!$A:$D,4)</f>
        <v>US</v>
      </c>
      <c r="K352">
        <f>Table1[[#This Row],[Quantity]]*Table1[[#This Row],[UnitPrice]]</f>
        <v>466.68</v>
      </c>
    </row>
    <row r="353" spans="1:11">
      <c r="A353" t="s">
        <v>511</v>
      </c>
      <c r="B353" s="1">
        <v>45305</v>
      </c>
      <c r="C353" t="s">
        <v>74</v>
      </c>
      <c r="D353" t="s">
        <v>55</v>
      </c>
      <c r="E353">
        <v>4</v>
      </c>
      <c r="F353">
        <v>522.6</v>
      </c>
      <c r="G353" t="str">
        <f>VLOOKUP(Table1[[#This Row],[ProductID]],Products!A:D,2)</f>
        <v>Product_40</v>
      </c>
      <c r="H353" t="str">
        <f>VLOOKUP(Table1[[#This Row],[ProductID]],Products!A:D,3)</f>
        <v>Sports</v>
      </c>
      <c r="I353">
        <f>VLOOKUP(Table1[[#This Row],[ProductID]],Products!$A:$D,4)</f>
        <v>130.65</v>
      </c>
      <c r="J353" t="str">
        <f>VLOOKUP(Table1[[#This Row],[CustomerID]],Customer_info!$A:$D,4)</f>
        <v>India</v>
      </c>
      <c r="K353">
        <f>Table1[[#This Row],[Quantity]]*Table1[[#This Row],[UnitPrice]]</f>
        <v>522.6</v>
      </c>
    </row>
    <row r="354" spans="1:11">
      <c r="A354" t="s">
        <v>512</v>
      </c>
      <c r="B354" s="1">
        <v>45360</v>
      </c>
      <c r="C354" t="s">
        <v>10</v>
      </c>
      <c r="D354" t="s">
        <v>165</v>
      </c>
      <c r="E354">
        <v>2</v>
      </c>
      <c r="F354">
        <v>523.88</v>
      </c>
      <c r="G354" t="str">
        <f>VLOOKUP(Table1[[#This Row],[ProductID]],Products!A:D,2)</f>
        <v>Product_2</v>
      </c>
      <c r="H354" t="str">
        <f>VLOOKUP(Table1[[#This Row],[ProductID]],Products!A:D,3)</f>
        <v>Electronics</v>
      </c>
      <c r="I354">
        <f>VLOOKUP(Table1[[#This Row],[ProductID]],Products!$A:$D,4)</f>
        <v>261.94</v>
      </c>
      <c r="J354" t="str">
        <f>VLOOKUP(Table1[[#This Row],[CustomerID]],Customer_info!$A:$D,4)</f>
        <v>India</v>
      </c>
      <c r="K354">
        <f>Table1[[#This Row],[Quantity]]*Table1[[#This Row],[UnitPrice]]</f>
        <v>523.88</v>
      </c>
    </row>
    <row r="355" spans="1:11">
      <c r="A355" t="s">
        <v>513</v>
      </c>
      <c r="B355" s="1">
        <v>45325</v>
      </c>
      <c r="C355" t="s">
        <v>514</v>
      </c>
      <c r="D355" t="s">
        <v>136</v>
      </c>
      <c r="E355">
        <v>5</v>
      </c>
      <c r="F355">
        <v>2156.1</v>
      </c>
      <c r="G355" t="str">
        <f>VLOOKUP(Table1[[#This Row],[ProductID]],Products!A:D,2)</f>
        <v>Product_1</v>
      </c>
      <c r="H355" t="str">
        <f>VLOOKUP(Table1[[#This Row],[ProductID]],Products!A:D,3)</f>
        <v>Electronics</v>
      </c>
      <c r="I355">
        <f>VLOOKUP(Table1[[#This Row],[ProductID]],Products!$A:$D,4)</f>
        <v>431.22</v>
      </c>
      <c r="J355" t="str">
        <f>VLOOKUP(Table1[[#This Row],[CustomerID]],Customer_info!$A:$D,4)</f>
        <v>UK</v>
      </c>
      <c r="K355">
        <f>Table1[[#This Row],[Quantity]]*Table1[[#This Row],[UnitPrice]]</f>
        <v>2156.1000000000004</v>
      </c>
    </row>
    <row r="356" spans="1:11">
      <c r="A356" t="s">
        <v>515</v>
      </c>
      <c r="B356" s="1">
        <v>45404</v>
      </c>
      <c r="C356" t="s">
        <v>436</v>
      </c>
      <c r="D356" t="s">
        <v>35</v>
      </c>
      <c r="E356">
        <v>3</v>
      </c>
      <c r="F356">
        <v>877.02</v>
      </c>
      <c r="G356" t="str">
        <f>VLOOKUP(Table1[[#This Row],[ProductID]],Products!A:D,2)</f>
        <v>Product_5</v>
      </c>
      <c r="H356" t="str">
        <f>VLOOKUP(Table1[[#This Row],[ProductID]],Products!A:D,3)</f>
        <v>Sports</v>
      </c>
      <c r="I356">
        <f>VLOOKUP(Table1[[#This Row],[ProductID]],Products!$A:$D,4)</f>
        <v>292.33999999999997</v>
      </c>
      <c r="J356" t="str">
        <f>VLOOKUP(Table1[[#This Row],[CustomerID]],Customer_info!$A:$D,4)</f>
        <v>US</v>
      </c>
      <c r="K356">
        <f>Table1[[#This Row],[Quantity]]*Table1[[#This Row],[UnitPrice]]</f>
        <v>877.02</v>
      </c>
    </row>
    <row r="357" spans="1:11">
      <c r="A357" t="s">
        <v>516</v>
      </c>
      <c r="B357" s="1">
        <v>45323</v>
      </c>
      <c r="C357" t="s">
        <v>167</v>
      </c>
      <c r="D357" t="s">
        <v>152</v>
      </c>
      <c r="E357">
        <v>4</v>
      </c>
      <c r="F357">
        <v>1363.4</v>
      </c>
      <c r="G357" t="str">
        <f>VLOOKUP(Table1[[#This Row],[ProductID]],Products!A:D,2)</f>
        <v>Product_38</v>
      </c>
      <c r="H357" t="str">
        <f>VLOOKUP(Table1[[#This Row],[ProductID]],Products!A:D,3)</f>
        <v>Electronics</v>
      </c>
      <c r="I357">
        <f>VLOOKUP(Table1[[#This Row],[ProductID]],Products!$A:$D,4)</f>
        <v>340.85</v>
      </c>
      <c r="J357" t="str">
        <f>VLOOKUP(Table1[[#This Row],[CustomerID]],Customer_info!$A:$D,4)</f>
        <v>UK</v>
      </c>
      <c r="K357">
        <f>Table1[[#This Row],[Quantity]]*Table1[[#This Row],[UnitPrice]]</f>
        <v>1363.4</v>
      </c>
    </row>
    <row r="358" spans="1:11">
      <c r="A358" t="s">
        <v>517</v>
      </c>
      <c r="B358" s="1">
        <v>45453</v>
      </c>
      <c r="C358" t="s">
        <v>74</v>
      </c>
      <c r="D358" t="s">
        <v>11</v>
      </c>
      <c r="E358">
        <v>1</v>
      </c>
      <c r="F358">
        <v>39.869999999999997</v>
      </c>
      <c r="G358" t="str">
        <f>VLOOKUP(Table1[[#This Row],[ProductID]],Products!A:D,2)</f>
        <v>Product_32</v>
      </c>
      <c r="H358" t="str">
        <f>VLOOKUP(Table1[[#This Row],[ProductID]],Products!A:D,3)</f>
        <v>Sports</v>
      </c>
      <c r="I358">
        <f>VLOOKUP(Table1[[#This Row],[ProductID]],Products!$A:$D,4)</f>
        <v>39.869999999999997</v>
      </c>
      <c r="J358" t="str">
        <f>VLOOKUP(Table1[[#This Row],[CustomerID]],Customer_info!$A:$D,4)</f>
        <v>India</v>
      </c>
      <c r="K358">
        <f>Table1[[#This Row],[Quantity]]*Table1[[#This Row],[UnitPrice]]</f>
        <v>39.869999999999997</v>
      </c>
    </row>
    <row r="359" spans="1:11">
      <c r="A359" t="s">
        <v>518</v>
      </c>
      <c r="B359" s="1">
        <v>45353</v>
      </c>
      <c r="C359" t="s">
        <v>202</v>
      </c>
      <c r="D359" t="s">
        <v>38</v>
      </c>
      <c r="E359">
        <v>5</v>
      </c>
      <c r="F359">
        <v>1671.6</v>
      </c>
      <c r="G359" t="str">
        <f>VLOOKUP(Table1[[#This Row],[ProductID]],Products!A:D,2)</f>
        <v>Product_28</v>
      </c>
      <c r="H359" t="str">
        <f>VLOOKUP(Table1[[#This Row],[ProductID]],Products!A:D,3)</f>
        <v>Sports</v>
      </c>
      <c r="I359">
        <f>VLOOKUP(Table1[[#This Row],[ProductID]],Products!$A:$D,4)</f>
        <v>334.32</v>
      </c>
      <c r="J359" t="str">
        <f>VLOOKUP(Table1[[#This Row],[CustomerID]],Customer_info!$A:$D,4)</f>
        <v>India</v>
      </c>
      <c r="K359">
        <f>Table1[[#This Row],[Quantity]]*Table1[[#This Row],[UnitPrice]]</f>
        <v>1671.6</v>
      </c>
    </row>
    <row r="360" spans="1:11">
      <c r="A360" t="s">
        <v>519</v>
      </c>
      <c r="B360" s="1">
        <v>45371</v>
      </c>
      <c r="C360" t="s">
        <v>113</v>
      </c>
      <c r="D360" t="s">
        <v>11</v>
      </c>
      <c r="E360">
        <v>2</v>
      </c>
      <c r="F360">
        <v>79.739999999999995</v>
      </c>
      <c r="G360" t="str">
        <f>VLOOKUP(Table1[[#This Row],[ProductID]],Products!A:D,2)</f>
        <v>Product_32</v>
      </c>
      <c r="H360" t="str">
        <f>VLOOKUP(Table1[[#This Row],[ProductID]],Products!A:D,3)</f>
        <v>Sports</v>
      </c>
      <c r="I360">
        <f>VLOOKUP(Table1[[#This Row],[ProductID]],Products!$A:$D,4)</f>
        <v>39.869999999999997</v>
      </c>
      <c r="J360" t="str">
        <f>VLOOKUP(Table1[[#This Row],[CustomerID]],Customer_info!$A:$D,4)</f>
        <v>India</v>
      </c>
      <c r="K360">
        <f>Table1[[#This Row],[Quantity]]*Table1[[#This Row],[UnitPrice]]</f>
        <v>79.739999999999995</v>
      </c>
    </row>
    <row r="361" spans="1:11">
      <c r="A361" t="s">
        <v>520</v>
      </c>
      <c r="B361" s="1">
        <v>45295</v>
      </c>
      <c r="C361" t="s">
        <v>302</v>
      </c>
      <c r="D361" t="s">
        <v>28</v>
      </c>
      <c r="E361">
        <v>5</v>
      </c>
      <c r="F361">
        <v>2261</v>
      </c>
      <c r="G361" t="str">
        <f>VLOOKUP(Table1[[#This Row],[ProductID]],Products!A:D,2)</f>
        <v>Product_24</v>
      </c>
      <c r="H361" t="str">
        <f>VLOOKUP(Table1[[#This Row],[ProductID]],Products!A:D,3)</f>
        <v>Beauty</v>
      </c>
      <c r="I361">
        <f>VLOOKUP(Table1[[#This Row],[ProductID]],Products!$A:$D,4)</f>
        <v>452.2</v>
      </c>
      <c r="J361" t="str">
        <f>VLOOKUP(Table1[[#This Row],[CustomerID]],Customer_info!$A:$D,4)</f>
        <v>US</v>
      </c>
      <c r="K361">
        <f>Table1[[#This Row],[Quantity]]*Table1[[#This Row],[UnitPrice]]</f>
        <v>2261</v>
      </c>
    </row>
  </sheetData>
  <phoneticPr fontId="3" type="noConversion"/>
  <pageMargins left="0.7" right="0.7" top="0.75" bottom="0.75" header="0.3" footer="0.3"/>
  <pageSetup orientation="portrait"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D15FD-DD13-4650-A800-CA1B28C8F277}">
  <dimension ref="A1:D41"/>
  <sheetViews>
    <sheetView workbookViewId="0">
      <selection activeCell="G11" sqref="G11"/>
    </sheetView>
  </sheetViews>
  <sheetFormatPr defaultRowHeight="14"/>
  <cols>
    <col min="1" max="1" width="12.6640625" bestFit="1" customWidth="1"/>
    <col min="2" max="2" width="15.5" bestFit="1" customWidth="1"/>
    <col min="3" max="3" width="11.75" bestFit="1" customWidth="1"/>
    <col min="4" max="4" width="11.9140625" bestFit="1" customWidth="1"/>
  </cols>
  <sheetData>
    <row r="1" spans="1:4" ht="14.5">
      <c r="A1" s="3" t="s">
        <v>3</v>
      </c>
      <c r="B1" s="3" t="s">
        <v>521</v>
      </c>
      <c r="C1" s="3" t="s">
        <v>522</v>
      </c>
      <c r="D1" s="3" t="s">
        <v>523</v>
      </c>
    </row>
    <row r="2" spans="1:4">
      <c r="A2" t="s">
        <v>136</v>
      </c>
      <c r="B2" t="s">
        <v>524</v>
      </c>
      <c r="C2" t="s">
        <v>525</v>
      </c>
      <c r="D2">
        <v>431.22</v>
      </c>
    </row>
    <row r="3" spans="1:4">
      <c r="A3" t="s">
        <v>165</v>
      </c>
      <c r="B3" t="s">
        <v>526</v>
      </c>
      <c r="C3" t="s">
        <v>525</v>
      </c>
      <c r="D3">
        <v>261.94</v>
      </c>
    </row>
    <row r="4" spans="1:4">
      <c r="A4" t="s">
        <v>132</v>
      </c>
      <c r="B4" t="s">
        <v>527</v>
      </c>
      <c r="C4" t="s">
        <v>528</v>
      </c>
      <c r="D4">
        <v>337.8</v>
      </c>
    </row>
    <row r="5" spans="1:4">
      <c r="A5" t="s">
        <v>304</v>
      </c>
      <c r="B5" t="s">
        <v>529</v>
      </c>
      <c r="C5" t="s">
        <v>530</v>
      </c>
      <c r="D5">
        <v>274.22000000000003</v>
      </c>
    </row>
    <row r="6" spans="1:4">
      <c r="A6" t="s">
        <v>35</v>
      </c>
      <c r="B6" t="s">
        <v>531</v>
      </c>
      <c r="C6" t="s">
        <v>532</v>
      </c>
      <c r="D6">
        <v>292.33999999999997</v>
      </c>
    </row>
    <row r="7" spans="1:4">
      <c r="A7" t="s">
        <v>17</v>
      </c>
      <c r="B7" t="s">
        <v>533</v>
      </c>
      <c r="C7" t="s">
        <v>530</v>
      </c>
      <c r="D7">
        <v>394.46</v>
      </c>
    </row>
    <row r="8" spans="1:4">
      <c r="A8" t="s">
        <v>23</v>
      </c>
      <c r="B8" t="s">
        <v>534</v>
      </c>
      <c r="C8" t="s">
        <v>535</v>
      </c>
      <c r="D8">
        <v>103.3</v>
      </c>
    </row>
    <row r="9" spans="1:4">
      <c r="A9" t="s">
        <v>146</v>
      </c>
      <c r="B9" t="s">
        <v>536</v>
      </c>
      <c r="C9" t="s">
        <v>525</v>
      </c>
      <c r="D9">
        <v>332.9</v>
      </c>
    </row>
    <row r="10" spans="1:4">
      <c r="A10" t="s">
        <v>178</v>
      </c>
      <c r="B10" t="s">
        <v>537</v>
      </c>
      <c r="C10" t="s">
        <v>528</v>
      </c>
      <c r="D10">
        <v>217.55</v>
      </c>
    </row>
    <row r="11" spans="1:4">
      <c r="A11" t="s">
        <v>81</v>
      </c>
      <c r="B11" t="s">
        <v>538</v>
      </c>
      <c r="C11" t="s">
        <v>535</v>
      </c>
      <c r="D11">
        <v>433.28</v>
      </c>
    </row>
    <row r="12" spans="1:4">
      <c r="A12" t="s">
        <v>148</v>
      </c>
      <c r="B12" t="s">
        <v>539</v>
      </c>
      <c r="C12" t="s">
        <v>525</v>
      </c>
      <c r="D12">
        <v>339.95</v>
      </c>
    </row>
    <row r="13" spans="1:4">
      <c r="A13" t="s">
        <v>124</v>
      </c>
      <c r="B13" t="s">
        <v>540</v>
      </c>
      <c r="C13" t="s">
        <v>525</v>
      </c>
      <c r="D13">
        <v>39.700000000000003</v>
      </c>
    </row>
    <row r="14" spans="1:4">
      <c r="A14" t="s">
        <v>68</v>
      </c>
      <c r="B14" t="s">
        <v>541</v>
      </c>
      <c r="C14" t="s">
        <v>528</v>
      </c>
      <c r="D14">
        <v>402.29</v>
      </c>
    </row>
    <row r="15" spans="1:4">
      <c r="A15" t="s">
        <v>98</v>
      </c>
      <c r="B15" t="s">
        <v>542</v>
      </c>
      <c r="C15" t="s">
        <v>525</v>
      </c>
      <c r="D15">
        <v>131.84</v>
      </c>
    </row>
    <row r="16" spans="1:4">
      <c r="A16" t="s">
        <v>44</v>
      </c>
      <c r="B16" t="s">
        <v>543</v>
      </c>
      <c r="C16" t="s">
        <v>530</v>
      </c>
      <c r="D16">
        <v>272.77999999999997</v>
      </c>
    </row>
    <row r="17" spans="1:4">
      <c r="A17" t="s">
        <v>72</v>
      </c>
      <c r="B17" t="s">
        <v>544</v>
      </c>
      <c r="C17" t="s">
        <v>530</v>
      </c>
      <c r="D17">
        <v>216.72</v>
      </c>
    </row>
    <row r="18" spans="1:4">
      <c r="A18" t="s">
        <v>14</v>
      </c>
      <c r="B18" t="s">
        <v>545</v>
      </c>
      <c r="C18" t="s">
        <v>528</v>
      </c>
      <c r="D18">
        <v>236.69</v>
      </c>
    </row>
    <row r="19" spans="1:4">
      <c r="A19" t="s">
        <v>114</v>
      </c>
      <c r="B19" t="s">
        <v>546</v>
      </c>
      <c r="C19" t="s">
        <v>525</v>
      </c>
      <c r="D19">
        <v>227.13</v>
      </c>
    </row>
    <row r="20" spans="1:4">
      <c r="A20" t="s">
        <v>63</v>
      </c>
      <c r="B20" t="s">
        <v>547</v>
      </c>
      <c r="C20" t="s">
        <v>532</v>
      </c>
      <c r="D20">
        <v>57.98</v>
      </c>
    </row>
    <row r="21" spans="1:4">
      <c r="A21" t="s">
        <v>8</v>
      </c>
      <c r="B21" t="s">
        <v>548</v>
      </c>
      <c r="C21" t="s">
        <v>532</v>
      </c>
      <c r="D21">
        <v>419.65</v>
      </c>
    </row>
    <row r="22" spans="1:4">
      <c r="A22" t="s">
        <v>225</v>
      </c>
      <c r="B22" t="s">
        <v>549</v>
      </c>
      <c r="C22" t="s">
        <v>525</v>
      </c>
      <c r="D22">
        <v>463.92</v>
      </c>
    </row>
    <row r="23" spans="1:4">
      <c r="A23" t="s">
        <v>60</v>
      </c>
      <c r="B23" t="s">
        <v>550</v>
      </c>
      <c r="C23" t="s">
        <v>530</v>
      </c>
      <c r="D23">
        <v>91.49</v>
      </c>
    </row>
    <row r="24" spans="1:4">
      <c r="A24" t="s">
        <v>196</v>
      </c>
      <c r="B24" t="s">
        <v>551</v>
      </c>
      <c r="C24" t="s">
        <v>535</v>
      </c>
      <c r="D24">
        <v>245.87</v>
      </c>
    </row>
    <row r="25" spans="1:4">
      <c r="A25" t="s">
        <v>28</v>
      </c>
      <c r="B25" t="s">
        <v>552</v>
      </c>
      <c r="C25" t="s">
        <v>535</v>
      </c>
      <c r="D25">
        <v>452.2</v>
      </c>
    </row>
    <row r="26" spans="1:4">
      <c r="A26" t="s">
        <v>260</v>
      </c>
      <c r="B26" t="s">
        <v>553</v>
      </c>
      <c r="C26" t="s">
        <v>530</v>
      </c>
      <c r="D26">
        <v>195.7</v>
      </c>
    </row>
    <row r="27" spans="1:4">
      <c r="A27" t="s">
        <v>103</v>
      </c>
      <c r="B27" t="s">
        <v>554</v>
      </c>
      <c r="C27" t="s">
        <v>535</v>
      </c>
      <c r="D27">
        <v>139.94999999999999</v>
      </c>
    </row>
    <row r="28" spans="1:4">
      <c r="A28" t="s">
        <v>26</v>
      </c>
      <c r="B28" t="s">
        <v>555</v>
      </c>
      <c r="C28" t="s">
        <v>535</v>
      </c>
      <c r="D28">
        <v>149.77000000000001</v>
      </c>
    </row>
    <row r="29" spans="1:4">
      <c r="A29" t="s">
        <v>38</v>
      </c>
      <c r="B29" t="s">
        <v>556</v>
      </c>
      <c r="C29" t="s">
        <v>532</v>
      </c>
      <c r="D29">
        <v>334.32</v>
      </c>
    </row>
    <row r="30" spans="1:4">
      <c r="A30" t="s">
        <v>52</v>
      </c>
      <c r="B30" t="s">
        <v>557</v>
      </c>
      <c r="C30" t="s">
        <v>535</v>
      </c>
      <c r="D30">
        <v>85.85</v>
      </c>
    </row>
    <row r="31" spans="1:4">
      <c r="A31" t="s">
        <v>129</v>
      </c>
      <c r="B31" t="s">
        <v>558</v>
      </c>
      <c r="C31" t="s">
        <v>528</v>
      </c>
      <c r="D31">
        <v>116.67</v>
      </c>
    </row>
    <row r="32" spans="1:4">
      <c r="A32" t="s">
        <v>49</v>
      </c>
      <c r="B32" t="s">
        <v>559</v>
      </c>
      <c r="C32" t="s">
        <v>525</v>
      </c>
      <c r="D32">
        <v>293.8</v>
      </c>
    </row>
    <row r="33" spans="1:4">
      <c r="A33" t="s">
        <v>11</v>
      </c>
      <c r="B33" t="s">
        <v>560</v>
      </c>
      <c r="C33" t="s">
        <v>532</v>
      </c>
      <c r="D33">
        <v>39.869999999999997</v>
      </c>
    </row>
    <row r="34" spans="1:4">
      <c r="A34" t="s">
        <v>41</v>
      </c>
      <c r="B34" t="s">
        <v>561</v>
      </c>
      <c r="C34" t="s">
        <v>528</v>
      </c>
      <c r="D34">
        <v>38.01</v>
      </c>
    </row>
    <row r="35" spans="1:4">
      <c r="A35" t="s">
        <v>231</v>
      </c>
      <c r="B35" t="s">
        <v>562</v>
      </c>
      <c r="C35" t="s">
        <v>532</v>
      </c>
      <c r="D35">
        <v>243.63</v>
      </c>
    </row>
    <row r="36" spans="1:4">
      <c r="A36" t="s">
        <v>122</v>
      </c>
      <c r="B36" t="s">
        <v>563</v>
      </c>
      <c r="C36" t="s">
        <v>532</v>
      </c>
      <c r="D36">
        <v>87.14</v>
      </c>
    </row>
    <row r="37" spans="1:4">
      <c r="A37" t="s">
        <v>108</v>
      </c>
      <c r="B37" t="s">
        <v>564</v>
      </c>
      <c r="C37" t="s">
        <v>532</v>
      </c>
      <c r="D37">
        <v>49.25</v>
      </c>
    </row>
    <row r="38" spans="1:4">
      <c r="A38" t="s">
        <v>160</v>
      </c>
      <c r="B38" t="s">
        <v>565</v>
      </c>
      <c r="C38" t="s">
        <v>530</v>
      </c>
      <c r="D38">
        <v>43.58</v>
      </c>
    </row>
    <row r="39" spans="1:4">
      <c r="A39" t="s">
        <v>152</v>
      </c>
      <c r="B39" t="s">
        <v>566</v>
      </c>
      <c r="C39" t="s">
        <v>525</v>
      </c>
      <c r="D39">
        <v>340.85</v>
      </c>
    </row>
    <row r="40" spans="1:4">
      <c r="A40" t="s">
        <v>20</v>
      </c>
      <c r="B40" t="s">
        <v>567</v>
      </c>
      <c r="C40" t="s">
        <v>530</v>
      </c>
      <c r="D40">
        <v>207.85</v>
      </c>
    </row>
    <row r="41" spans="1:4">
      <c r="A41" t="s">
        <v>55</v>
      </c>
      <c r="B41" t="s">
        <v>568</v>
      </c>
      <c r="C41" t="s">
        <v>532</v>
      </c>
      <c r="D41">
        <v>130.65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76A19-B03F-4CA2-8C24-06C2088ECD4A}">
  <dimension ref="A1:E121"/>
  <sheetViews>
    <sheetView workbookViewId="0">
      <selection activeCell="E2" sqref="E2"/>
    </sheetView>
  </sheetViews>
  <sheetFormatPr defaultRowHeight="14"/>
  <cols>
    <col min="1" max="1" width="11.75" customWidth="1"/>
    <col min="2" max="2" width="14.58203125" customWidth="1"/>
    <col min="3" max="3" width="21.5" bestFit="1" customWidth="1"/>
    <col min="4" max="4" width="11.08203125" bestFit="1" customWidth="1"/>
    <col min="5" max="5" width="11.33203125" customWidth="1"/>
  </cols>
  <sheetData>
    <row r="1" spans="1:5" ht="14.5">
      <c r="A1" s="2" t="s">
        <v>2</v>
      </c>
      <c r="B1" s="2" t="s">
        <v>569</v>
      </c>
      <c r="C1" s="2" t="s">
        <v>570</v>
      </c>
      <c r="D1" s="2" t="s">
        <v>571</v>
      </c>
      <c r="E1" s="2" t="s">
        <v>572</v>
      </c>
    </row>
    <row r="2" spans="1:5">
      <c r="A2" t="s">
        <v>74</v>
      </c>
      <c r="B2" t="s">
        <v>573</v>
      </c>
      <c r="C2" t="s">
        <v>574</v>
      </c>
      <c r="D2" t="s">
        <v>575</v>
      </c>
      <c r="E2" s="1">
        <v>44984</v>
      </c>
    </row>
    <row r="3" spans="1:5">
      <c r="A3" t="s">
        <v>89</v>
      </c>
      <c r="B3" t="s">
        <v>576</v>
      </c>
      <c r="C3" t="s">
        <v>577</v>
      </c>
      <c r="D3" t="s">
        <v>578</v>
      </c>
      <c r="E3" s="1">
        <v>45067</v>
      </c>
    </row>
    <row r="4" spans="1:5">
      <c r="A4" t="s">
        <v>170</v>
      </c>
      <c r="B4" t="s">
        <v>579</v>
      </c>
      <c r="C4" t="s">
        <v>580</v>
      </c>
      <c r="D4" t="s">
        <v>578</v>
      </c>
      <c r="E4" s="1">
        <v>45041</v>
      </c>
    </row>
    <row r="5" spans="1:5">
      <c r="A5" t="s">
        <v>410</v>
      </c>
      <c r="B5" t="s">
        <v>581</v>
      </c>
      <c r="C5" t="s">
        <v>582</v>
      </c>
      <c r="D5" t="s">
        <v>578</v>
      </c>
      <c r="E5" s="1">
        <v>44979</v>
      </c>
    </row>
    <row r="6" spans="1:5">
      <c r="A6" t="s">
        <v>135</v>
      </c>
      <c r="B6" t="s">
        <v>583</v>
      </c>
      <c r="C6" t="s">
        <v>584</v>
      </c>
      <c r="D6" t="s">
        <v>575</v>
      </c>
      <c r="E6" s="1">
        <v>45206</v>
      </c>
    </row>
    <row r="7" spans="1:5">
      <c r="A7" t="s">
        <v>30</v>
      </c>
      <c r="B7" t="s">
        <v>585</v>
      </c>
      <c r="C7" t="s">
        <v>586</v>
      </c>
      <c r="D7" t="s">
        <v>578</v>
      </c>
      <c r="E7" s="1">
        <v>45229</v>
      </c>
    </row>
    <row r="8" spans="1:5">
      <c r="A8" t="s">
        <v>587</v>
      </c>
      <c r="B8" t="s">
        <v>588</v>
      </c>
      <c r="C8" t="s">
        <v>589</v>
      </c>
      <c r="D8" t="s">
        <v>609</v>
      </c>
      <c r="E8" s="1">
        <v>44943</v>
      </c>
    </row>
    <row r="9" spans="1:5">
      <c r="A9" t="s">
        <v>245</v>
      </c>
      <c r="B9" t="s">
        <v>590</v>
      </c>
      <c r="C9" t="s">
        <v>591</v>
      </c>
      <c r="D9" t="s">
        <v>578</v>
      </c>
      <c r="E9" s="1">
        <v>44974</v>
      </c>
    </row>
    <row r="10" spans="1:5">
      <c r="A10" t="s">
        <v>229</v>
      </c>
      <c r="B10" t="s">
        <v>592</v>
      </c>
      <c r="C10" t="s">
        <v>593</v>
      </c>
      <c r="D10" t="s">
        <v>578</v>
      </c>
      <c r="E10" s="1">
        <v>45046</v>
      </c>
    </row>
    <row r="11" spans="1:5">
      <c r="A11" t="s">
        <v>206</v>
      </c>
      <c r="B11" t="s">
        <v>594</v>
      </c>
      <c r="C11" t="s">
        <v>595</v>
      </c>
      <c r="D11" t="s">
        <v>596</v>
      </c>
      <c r="E11" s="1">
        <v>45235</v>
      </c>
    </row>
    <row r="12" spans="1:5">
      <c r="A12" t="s">
        <v>280</v>
      </c>
      <c r="B12" t="s">
        <v>597</v>
      </c>
      <c r="C12" t="s">
        <v>598</v>
      </c>
      <c r="D12" t="s">
        <v>578</v>
      </c>
      <c r="E12" s="1">
        <v>45214</v>
      </c>
    </row>
    <row r="13" spans="1:5">
      <c r="A13" t="s">
        <v>150</v>
      </c>
      <c r="B13" t="s">
        <v>599</v>
      </c>
      <c r="C13" t="s">
        <v>600</v>
      </c>
      <c r="D13" t="s">
        <v>578</v>
      </c>
      <c r="E13" s="1">
        <v>45259</v>
      </c>
    </row>
    <row r="14" spans="1:5">
      <c r="A14" t="s">
        <v>467</v>
      </c>
      <c r="B14" t="s">
        <v>601</v>
      </c>
      <c r="C14" t="s">
        <v>602</v>
      </c>
      <c r="D14" t="s">
        <v>575</v>
      </c>
      <c r="E14" s="1">
        <v>45206</v>
      </c>
    </row>
    <row r="15" spans="1:5">
      <c r="A15" t="s">
        <v>97</v>
      </c>
      <c r="B15" t="s">
        <v>603</v>
      </c>
      <c r="C15" t="s">
        <v>604</v>
      </c>
      <c r="D15" t="s">
        <v>609</v>
      </c>
      <c r="E15" s="1">
        <v>45039</v>
      </c>
    </row>
    <row r="16" spans="1:5">
      <c r="A16" t="s">
        <v>241</v>
      </c>
      <c r="B16" t="s">
        <v>605</v>
      </c>
      <c r="C16" t="s">
        <v>606</v>
      </c>
      <c r="D16" t="s">
        <v>609</v>
      </c>
      <c r="E16" s="1">
        <v>45228</v>
      </c>
    </row>
    <row r="17" spans="1:5">
      <c r="A17" t="s">
        <v>295</v>
      </c>
      <c r="B17" t="s">
        <v>607</v>
      </c>
      <c r="C17" t="s">
        <v>608</v>
      </c>
      <c r="D17" t="s">
        <v>609</v>
      </c>
      <c r="E17" s="1">
        <v>44930</v>
      </c>
    </row>
    <row r="18" spans="1:5">
      <c r="A18" t="s">
        <v>442</v>
      </c>
      <c r="B18" t="s">
        <v>610</v>
      </c>
      <c r="C18" t="s">
        <v>611</v>
      </c>
      <c r="D18" t="s">
        <v>578</v>
      </c>
      <c r="E18" s="1">
        <v>45284</v>
      </c>
    </row>
    <row r="19" spans="1:5">
      <c r="A19" t="s">
        <v>19</v>
      </c>
      <c r="B19" t="s">
        <v>612</v>
      </c>
      <c r="C19" t="s">
        <v>613</v>
      </c>
      <c r="D19" t="s">
        <v>609</v>
      </c>
      <c r="E19" s="1">
        <v>45101</v>
      </c>
    </row>
    <row r="20" spans="1:5">
      <c r="A20" t="s">
        <v>283</v>
      </c>
      <c r="B20" t="s">
        <v>614</v>
      </c>
      <c r="C20" t="s">
        <v>615</v>
      </c>
      <c r="D20" t="s">
        <v>609</v>
      </c>
      <c r="E20" s="1">
        <v>45006</v>
      </c>
    </row>
    <row r="21" spans="1:5">
      <c r="A21" t="s">
        <v>269</v>
      </c>
      <c r="B21" t="s">
        <v>616</v>
      </c>
      <c r="C21" t="s">
        <v>617</v>
      </c>
      <c r="D21" t="s">
        <v>578</v>
      </c>
      <c r="E21" s="1">
        <v>45099</v>
      </c>
    </row>
    <row r="22" spans="1:5">
      <c r="A22" t="s">
        <v>32</v>
      </c>
      <c r="B22" t="s">
        <v>618</v>
      </c>
      <c r="C22" t="s">
        <v>619</v>
      </c>
      <c r="D22" t="s">
        <v>578</v>
      </c>
      <c r="E22" s="1">
        <v>44974</v>
      </c>
    </row>
    <row r="23" spans="1:5">
      <c r="A23" t="s">
        <v>323</v>
      </c>
      <c r="B23" t="s">
        <v>620</v>
      </c>
      <c r="C23" t="s">
        <v>621</v>
      </c>
      <c r="D23" t="s">
        <v>609</v>
      </c>
      <c r="E23" s="1">
        <v>44976</v>
      </c>
    </row>
    <row r="24" spans="1:5">
      <c r="A24" t="s">
        <v>310</v>
      </c>
      <c r="B24" t="s">
        <v>622</v>
      </c>
      <c r="C24" t="s">
        <v>623</v>
      </c>
      <c r="D24" t="s">
        <v>609</v>
      </c>
      <c r="E24" s="1">
        <v>45103</v>
      </c>
    </row>
    <row r="25" spans="1:5">
      <c r="A25" t="s">
        <v>346</v>
      </c>
      <c r="B25" t="s">
        <v>624</v>
      </c>
      <c r="C25" t="s">
        <v>625</v>
      </c>
      <c r="D25" t="s">
        <v>596</v>
      </c>
      <c r="E25" s="1">
        <v>45062</v>
      </c>
    </row>
    <row r="26" spans="1:5">
      <c r="A26" t="s">
        <v>40</v>
      </c>
      <c r="B26" t="s">
        <v>626</v>
      </c>
      <c r="C26" t="s">
        <v>627</v>
      </c>
      <c r="D26" t="s">
        <v>578</v>
      </c>
      <c r="E26" s="1">
        <v>45162</v>
      </c>
    </row>
    <row r="27" spans="1:5">
      <c r="A27" t="s">
        <v>249</v>
      </c>
      <c r="B27" t="s">
        <v>628</v>
      </c>
      <c r="C27" t="s">
        <v>629</v>
      </c>
      <c r="D27" t="s">
        <v>596</v>
      </c>
      <c r="E27" s="1">
        <v>44990</v>
      </c>
    </row>
    <row r="28" spans="1:5">
      <c r="A28" t="s">
        <v>70</v>
      </c>
      <c r="B28" t="s">
        <v>630</v>
      </c>
      <c r="C28" t="s">
        <v>631</v>
      </c>
      <c r="D28" t="s">
        <v>609</v>
      </c>
      <c r="E28" s="1">
        <v>44967</v>
      </c>
    </row>
    <row r="29" spans="1:5">
      <c r="A29" t="s">
        <v>632</v>
      </c>
      <c r="B29" t="s">
        <v>633</v>
      </c>
      <c r="C29" t="s">
        <v>634</v>
      </c>
      <c r="D29" t="s">
        <v>596</v>
      </c>
      <c r="E29" s="1">
        <v>45077</v>
      </c>
    </row>
    <row r="30" spans="1:5">
      <c r="A30" t="s">
        <v>243</v>
      </c>
      <c r="B30" t="s">
        <v>635</v>
      </c>
      <c r="C30" t="s">
        <v>636</v>
      </c>
      <c r="D30" t="s">
        <v>575</v>
      </c>
      <c r="E30" s="1">
        <v>45243</v>
      </c>
    </row>
    <row r="31" spans="1:5">
      <c r="A31" t="s">
        <v>139</v>
      </c>
      <c r="B31" t="s">
        <v>637</v>
      </c>
      <c r="C31" t="s">
        <v>638</v>
      </c>
      <c r="D31" t="s">
        <v>609</v>
      </c>
      <c r="E31" s="1">
        <v>45222</v>
      </c>
    </row>
    <row r="32" spans="1:5">
      <c r="A32" t="s">
        <v>87</v>
      </c>
      <c r="B32" t="s">
        <v>639</v>
      </c>
      <c r="C32" t="s">
        <v>640</v>
      </c>
      <c r="D32" t="s">
        <v>578</v>
      </c>
      <c r="E32" s="1">
        <v>45287</v>
      </c>
    </row>
    <row r="33" spans="1:5">
      <c r="A33" t="s">
        <v>195</v>
      </c>
      <c r="B33" t="s">
        <v>641</v>
      </c>
      <c r="C33" t="s">
        <v>642</v>
      </c>
      <c r="D33" t="s">
        <v>578</v>
      </c>
      <c r="E33" s="1">
        <v>44950</v>
      </c>
    </row>
    <row r="34" spans="1:5">
      <c r="A34" t="s">
        <v>422</v>
      </c>
      <c r="B34" t="s">
        <v>643</v>
      </c>
      <c r="C34" t="s">
        <v>644</v>
      </c>
      <c r="D34" t="s">
        <v>575</v>
      </c>
      <c r="E34" s="1">
        <v>45043</v>
      </c>
    </row>
    <row r="35" spans="1:5">
      <c r="A35" t="s">
        <v>78</v>
      </c>
      <c r="B35" t="s">
        <v>645</v>
      </c>
      <c r="C35" t="s">
        <v>646</v>
      </c>
      <c r="D35" t="s">
        <v>609</v>
      </c>
      <c r="E35" s="1">
        <v>44967</v>
      </c>
    </row>
    <row r="36" spans="1:5">
      <c r="A36" t="s">
        <v>176</v>
      </c>
      <c r="B36" t="s">
        <v>647</v>
      </c>
      <c r="C36" t="s">
        <v>648</v>
      </c>
      <c r="D36" t="s">
        <v>578</v>
      </c>
      <c r="E36" s="1">
        <v>44978</v>
      </c>
    </row>
    <row r="37" spans="1:5">
      <c r="A37" t="s">
        <v>211</v>
      </c>
      <c r="B37" t="s">
        <v>649</v>
      </c>
      <c r="C37" t="s">
        <v>650</v>
      </c>
      <c r="D37" t="s">
        <v>609</v>
      </c>
      <c r="E37" s="1">
        <v>45069</v>
      </c>
    </row>
    <row r="38" spans="1:5">
      <c r="A38" t="s">
        <v>651</v>
      </c>
      <c r="B38" t="s">
        <v>652</v>
      </c>
      <c r="C38" t="s">
        <v>653</v>
      </c>
      <c r="D38" t="s">
        <v>609</v>
      </c>
      <c r="E38" s="1">
        <v>45252</v>
      </c>
    </row>
    <row r="39" spans="1:5">
      <c r="A39" t="s">
        <v>22</v>
      </c>
      <c r="B39" t="s">
        <v>654</v>
      </c>
      <c r="C39" t="s">
        <v>655</v>
      </c>
      <c r="D39" t="s">
        <v>609</v>
      </c>
      <c r="E39" s="1">
        <v>45010</v>
      </c>
    </row>
    <row r="40" spans="1:5">
      <c r="A40" t="s">
        <v>377</v>
      </c>
      <c r="B40" t="s">
        <v>656</v>
      </c>
      <c r="C40" t="s">
        <v>657</v>
      </c>
      <c r="D40" t="s">
        <v>609</v>
      </c>
      <c r="E40" s="1">
        <v>45108</v>
      </c>
    </row>
    <row r="41" spans="1:5">
      <c r="A41" t="s">
        <v>358</v>
      </c>
      <c r="B41" t="s">
        <v>658</v>
      </c>
      <c r="C41" t="s">
        <v>659</v>
      </c>
      <c r="D41" t="s">
        <v>578</v>
      </c>
      <c r="E41" s="1">
        <v>45270</v>
      </c>
    </row>
    <row r="42" spans="1:5">
      <c r="A42" t="s">
        <v>34</v>
      </c>
      <c r="B42" t="s">
        <v>660</v>
      </c>
      <c r="C42" t="s">
        <v>661</v>
      </c>
      <c r="D42" t="s">
        <v>609</v>
      </c>
      <c r="E42" s="1">
        <v>45286</v>
      </c>
    </row>
    <row r="43" spans="1:5">
      <c r="A43" t="s">
        <v>126</v>
      </c>
      <c r="B43" t="s">
        <v>662</v>
      </c>
      <c r="C43" t="s">
        <v>663</v>
      </c>
      <c r="D43" t="s">
        <v>575</v>
      </c>
      <c r="E43" s="1">
        <v>45258</v>
      </c>
    </row>
    <row r="44" spans="1:5">
      <c r="A44" t="s">
        <v>46</v>
      </c>
      <c r="B44" t="s">
        <v>664</v>
      </c>
      <c r="C44" t="s">
        <v>665</v>
      </c>
      <c r="D44" t="s">
        <v>578</v>
      </c>
      <c r="E44" s="1">
        <v>45238</v>
      </c>
    </row>
    <row r="45" spans="1:5">
      <c r="A45" t="s">
        <v>367</v>
      </c>
      <c r="B45" t="s">
        <v>666</v>
      </c>
      <c r="C45" t="s">
        <v>667</v>
      </c>
      <c r="D45" t="s">
        <v>575</v>
      </c>
      <c r="E45" s="1">
        <v>45014</v>
      </c>
    </row>
    <row r="46" spans="1:5">
      <c r="A46" t="s">
        <v>258</v>
      </c>
      <c r="B46" t="s">
        <v>668</v>
      </c>
      <c r="C46" t="s">
        <v>669</v>
      </c>
      <c r="D46" t="s">
        <v>596</v>
      </c>
      <c r="E46" s="1">
        <v>45052</v>
      </c>
    </row>
    <row r="47" spans="1:5">
      <c r="A47" t="s">
        <v>214</v>
      </c>
      <c r="B47" t="s">
        <v>670</v>
      </c>
      <c r="C47" t="s">
        <v>671</v>
      </c>
      <c r="D47" t="s">
        <v>578</v>
      </c>
      <c r="E47" s="1">
        <v>45163</v>
      </c>
    </row>
    <row r="48" spans="1:5">
      <c r="A48" t="s">
        <v>235</v>
      </c>
      <c r="B48" t="s">
        <v>672</v>
      </c>
      <c r="C48" t="s">
        <v>673</v>
      </c>
      <c r="D48" t="s">
        <v>609</v>
      </c>
      <c r="E48" s="1">
        <v>45065</v>
      </c>
    </row>
    <row r="49" spans="1:5">
      <c r="A49" t="s">
        <v>202</v>
      </c>
      <c r="B49" t="s">
        <v>674</v>
      </c>
      <c r="C49" t="s">
        <v>675</v>
      </c>
      <c r="D49" t="s">
        <v>575</v>
      </c>
      <c r="E49" s="1">
        <v>45279</v>
      </c>
    </row>
    <row r="50" spans="1:5">
      <c r="A50" t="s">
        <v>48</v>
      </c>
      <c r="B50" t="s">
        <v>676</v>
      </c>
      <c r="C50" t="s">
        <v>677</v>
      </c>
      <c r="D50" t="s">
        <v>596</v>
      </c>
      <c r="E50" s="1">
        <v>45039</v>
      </c>
    </row>
    <row r="51" spans="1:5">
      <c r="A51" t="s">
        <v>113</v>
      </c>
      <c r="B51" t="s">
        <v>678</v>
      </c>
      <c r="C51" t="s">
        <v>679</v>
      </c>
      <c r="D51" t="s">
        <v>575</v>
      </c>
      <c r="E51" s="1">
        <v>45093</v>
      </c>
    </row>
    <row r="52" spans="1:5">
      <c r="A52" t="s">
        <v>312</v>
      </c>
      <c r="B52" t="s">
        <v>680</v>
      </c>
      <c r="C52" t="s">
        <v>681</v>
      </c>
      <c r="D52" t="s">
        <v>578</v>
      </c>
      <c r="E52" s="1">
        <v>45044</v>
      </c>
    </row>
    <row r="53" spans="1:5">
      <c r="A53" t="s">
        <v>514</v>
      </c>
      <c r="B53" t="s">
        <v>682</v>
      </c>
      <c r="C53" t="s">
        <v>683</v>
      </c>
      <c r="D53" t="s">
        <v>578</v>
      </c>
      <c r="E53" s="1">
        <v>45088</v>
      </c>
    </row>
    <row r="54" spans="1:5">
      <c r="A54" t="s">
        <v>43</v>
      </c>
      <c r="B54" t="s">
        <v>684</v>
      </c>
      <c r="C54" t="s">
        <v>685</v>
      </c>
      <c r="D54" t="s">
        <v>609</v>
      </c>
      <c r="E54" s="1">
        <v>45064</v>
      </c>
    </row>
    <row r="55" spans="1:5">
      <c r="A55" t="s">
        <v>431</v>
      </c>
      <c r="B55" t="s">
        <v>686</v>
      </c>
      <c r="C55" t="s">
        <v>687</v>
      </c>
      <c r="D55" t="s">
        <v>578</v>
      </c>
      <c r="E55" s="1">
        <v>45035</v>
      </c>
    </row>
    <row r="56" spans="1:5">
      <c r="A56" t="s">
        <v>439</v>
      </c>
      <c r="B56" t="s">
        <v>688</v>
      </c>
      <c r="C56" t="s">
        <v>689</v>
      </c>
      <c r="D56" t="s">
        <v>596</v>
      </c>
      <c r="E56" s="1">
        <v>45088</v>
      </c>
    </row>
    <row r="57" spans="1:5">
      <c r="A57" t="s">
        <v>76</v>
      </c>
      <c r="B57" t="s">
        <v>690</v>
      </c>
      <c r="C57" t="s">
        <v>691</v>
      </c>
      <c r="D57" t="s">
        <v>578</v>
      </c>
      <c r="E57" s="1">
        <v>45262</v>
      </c>
    </row>
    <row r="58" spans="1:5">
      <c r="A58" t="s">
        <v>692</v>
      </c>
      <c r="B58" t="s">
        <v>693</v>
      </c>
      <c r="C58" t="s">
        <v>694</v>
      </c>
      <c r="D58" t="s">
        <v>609</v>
      </c>
      <c r="E58" s="1">
        <v>45129</v>
      </c>
    </row>
    <row r="59" spans="1:5">
      <c r="A59" t="s">
        <v>255</v>
      </c>
      <c r="B59" t="s">
        <v>695</v>
      </c>
      <c r="C59" t="s">
        <v>696</v>
      </c>
      <c r="D59" t="s">
        <v>575</v>
      </c>
      <c r="E59" s="1">
        <v>45161</v>
      </c>
    </row>
    <row r="60" spans="1:5">
      <c r="A60" t="s">
        <v>111</v>
      </c>
      <c r="B60" t="s">
        <v>697</v>
      </c>
      <c r="C60" t="s">
        <v>698</v>
      </c>
      <c r="D60" t="s">
        <v>578</v>
      </c>
      <c r="E60" s="1">
        <v>45062</v>
      </c>
    </row>
    <row r="61" spans="1:5">
      <c r="A61" t="s">
        <v>25</v>
      </c>
      <c r="B61" t="s">
        <v>699</v>
      </c>
      <c r="C61" t="s">
        <v>700</v>
      </c>
      <c r="D61" t="s">
        <v>578</v>
      </c>
      <c r="E61" s="1">
        <v>45053</v>
      </c>
    </row>
    <row r="62" spans="1:5">
      <c r="A62" t="s">
        <v>65</v>
      </c>
      <c r="B62" t="s">
        <v>701</v>
      </c>
      <c r="C62" t="s">
        <v>702</v>
      </c>
      <c r="D62" t="s">
        <v>575</v>
      </c>
      <c r="E62" s="1">
        <v>45214</v>
      </c>
    </row>
    <row r="63" spans="1:5">
      <c r="A63" t="s">
        <v>174</v>
      </c>
      <c r="B63" t="s">
        <v>703</v>
      </c>
      <c r="C63" t="s">
        <v>704</v>
      </c>
      <c r="D63" t="s">
        <v>596</v>
      </c>
      <c r="E63" s="1">
        <v>45061</v>
      </c>
    </row>
    <row r="64" spans="1:5">
      <c r="A64" t="s">
        <v>209</v>
      </c>
      <c r="B64" t="s">
        <v>705</v>
      </c>
      <c r="C64" t="s">
        <v>706</v>
      </c>
      <c r="D64" t="s">
        <v>575</v>
      </c>
      <c r="E64" s="1">
        <v>45226</v>
      </c>
    </row>
    <row r="65" spans="1:5">
      <c r="A65" t="s">
        <v>218</v>
      </c>
      <c r="B65" t="s">
        <v>707</v>
      </c>
      <c r="C65" t="s">
        <v>708</v>
      </c>
      <c r="D65" t="s">
        <v>609</v>
      </c>
      <c r="E65" s="1">
        <v>45225</v>
      </c>
    </row>
    <row r="66" spans="1:5">
      <c r="A66" t="s">
        <v>709</v>
      </c>
      <c r="B66" t="s">
        <v>710</v>
      </c>
      <c r="C66" t="s">
        <v>711</v>
      </c>
      <c r="D66" t="s">
        <v>609</v>
      </c>
      <c r="E66" s="1">
        <v>45112</v>
      </c>
    </row>
    <row r="67" spans="1:5">
      <c r="A67" t="s">
        <v>145</v>
      </c>
      <c r="B67" t="s">
        <v>712</v>
      </c>
      <c r="C67" t="s">
        <v>713</v>
      </c>
      <c r="D67" t="s">
        <v>578</v>
      </c>
      <c r="E67" s="1">
        <v>44997</v>
      </c>
    </row>
    <row r="68" spans="1:5">
      <c r="A68" t="s">
        <v>264</v>
      </c>
      <c r="B68" t="s">
        <v>714</v>
      </c>
      <c r="C68" t="s">
        <v>715</v>
      </c>
      <c r="D68" t="s">
        <v>596</v>
      </c>
      <c r="E68" s="1">
        <v>45179</v>
      </c>
    </row>
    <row r="69" spans="1:5">
      <c r="A69" t="s">
        <v>334</v>
      </c>
      <c r="B69" t="s">
        <v>716</v>
      </c>
      <c r="C69" t="s">
        <v>717</v>
      </c>
      <c r="D69" t="s">
        <v>578</v>
      </c>
      <c r="E69" s="1">
        <v>44951</v>
      </c>
    </row>
    <row r="70" spans="1:5">
      <c r="A70" t="s">
        <v>198</v>
      </c>
      <c r="B70" t="s">
        <v>718</v>
      </c>
      <c r="C70" t="s">
        <v>719</v>
      </c>
      <c r="D70" t="s">
        <v>578</v>
      </c>
      <c r="E70" s="1">
        <v>45005</v>
      </c>
    </row>
    <row r="71" spans="1:5">
      <c r="A71" t="s">
        <v>384</v>
      </c>
      <c r="B71" t="s">
        <v>720</v>
      </c>
      <c r="C71" t="s">
        <v>721</v>
      </c>
      <c r="D71" t="s">
        <v>575</v>
      </c>
      <c r="E71" s="1">
        <v>45008</v>
      </c>
    </row>
    <row r="72" spans="1:5">
      <c r="A72" t="s">
        <v>54</v>
      </c>
      <c r="B72" t="s">
        <v>722</v>
      </c>
      <c r="C72" t="s">
        <v>723</v>
      </c>
      <c r="D72" t="s">
        <v>575</v>
      </c>
      <c r="E72" s="1">
        <v>45143</v>
      </c>
    </row>
    <row r="73" spans="1:5">
      <c r="A73" t="s">
        <v>289</v>
      </c>
      <c r="B73" t="s">
        <v>724</v>
      </c>
      <c r="C73" t="s">
        <v>725</v>
      </c>
      <c r="D73" t="s">
        <v>596</v>
      </c>
      <c r="E73" s="1">
        <v>44959</v>
      </c>
    </row>
    <row r="74" spans="1:5">
      <c r="A74" t="s">
        <v>93</v>
      </c>
      <c r="B74" t="s">
        <v>726</v>
      </c>
      <c r="C74" t="s">
        <v>727</v>
      </c>
      <c r="D74" t="s">
        <v>609</v>
      </c>
      <c r="E74" s="1">
        <v>45122</v>
      </c>
    </row>
    <row r="75" spans="1:5">
      <c r="A75" t="s">
        <v>307</v>
      </c>
      <c r="B75" t="s">
        <v>728</v>
      </c>
      <c r="C75" t="s">
        <v>729</v>
      </c>
      <c r="D75" t="s">
        <v>596</v>
      </c>
      <c r="E75" s="1">
        <v>45166</v>
      </c>
    </row>
    <row r="76" spans="1:5">
      <c r="A76" t="s">
        <v>143</v>
      </c>
      <c r="B76" t="s">
        <v>730</v>
      </c>
      <c r="C76" t="s">
        <v>731</v>
      </c>
      <c r="D76" t="s">
        <v>596</v>
      </c>
      <c r="E76" s="1">
        <v>45055</v>
      </c>
    </row>
    <row r="77" spans="1:5">
      <c r="A77" t="s">
        <v>278</v>
      </c>
      <c r="B77" t="s">
        <v>732</v>
      </c>
      <c r="C77" t="s">
        <v>733</v>
      </c>
      <c r="D77" t="s">
        <v>596</v>
      </c>
      <c r="E77" s="1">
        <v>44932</v>
      </c>
    </row>
    <row r="78" spans="1:5">
      <c r="A78" t="s">
        <v>10</v>
      </c>
      <c r="B78" t="s">
        <v>734</v>
      </c>
      <c r="C78" t="s">
        <v>735</v>
      </c>
      <c r="D78" t="s">
        <v>575</v>
      </c>
      <c r="E78" s="1">
        <v>44985</v>
      </c>
    </row>
    <row r="79" spans="1:5">
      <c r="A79" t="s">
        <v>363</v>
      </c>
      <c r="B79" t="s">
        <v>736</v>
      </c>
      <c r="C79" t="s">
        <v>737</v>
      </c>
      <c r="D79" t="s">
        <v>575</v>
      </c>
      <c r="E79" s="1">
        <v>45201</v>
      </c>
    </row>
    <row r="80" spans="1:5">
      <c r="A80" t="s">
        <v>159</v>
      </c>
      <c r="B80" t="s">
        <v>738</v>
      </c>
      <c r="C80" t="s">
        <v>739</v>
      </c>
      <c r="D80" t="s">
        <v>609</v>
      </c>
      <c r="E80" s="1">
        <v>45255</v>
      </c>
    </row>
    <row r="81" spans="1:5">
      <c r="A81" t="s">
        <v>51</v>
      </c>
      <c r="B81" t="s">
        <v>740</v>
      </c>
      <c r="C81" t="s">
        <v>741</v>
      </c>
      <c r="D81" t="s">
        <v>609</v>
      </c>
      <c r="E81" s="1">
        <v>44984</v>
      </c>
    </row>
    <row r="82" spans="1:5">
      <c r="A82" t="s">
        <v>101</v>
      </c>
      <c r="B82" t="s">
        <v>742</v>
      </c>
      <c r="C82" t="s">
        <v>743</v>
      </c>
      <c r="D82" t="s">
        <v>609</v>
      </c>
      <c r="E82" s="1">
        <v>45149</v>
      </c>
    </row>
    <row r="83" spans="1:5">
      <c r="A83" t="s">
        <v>83</v>
      </c>
      <c r="B83" t="s">
        <v>744</v>
      </c>
      <c r="C83" t="s">
        <v>745</v>
      </c>
      <c r="D83" t="s">
        <v>578</v>
      </c>
      <c r="E83" s="1">
        <v>45159</v>
      </c>
    </row>
    <row r="84" spans="1:5">
      <c r="A84" t="s">
        <v>57</v>
      </c>
      <c r="B84" t="s">
        <v>746</v>
      </c>
      <c r="C84" t="s">
        <v>747</v>
      </c>
      <c r="D84" t="s">
        <v>578</v>
      </c>
      <c r="E84" s="1">
        <v>45061</v>
      </c>
    </row>
    <row r="85" spans="1:5">
      <c r="A85" t="s">
        <v>131</v>
      </c>
      <c r="B85" t="s">
        <v>748</v>
      </c>
      <c r="C85" t="s">
        <v>749</v>
      </c>
      <c r="D85" t="s">
        <v>596</v>
      </c>
      <c r="E85" s="1">
        <v>45018</v>
      </c>
    </row>
    <row r="86" spans="1:5">
      <c r="A86" t="s">
        <v>128</v>
      </c>
      <c r="B86" t="s">
        <v>750</v>
      </c>
      <c r="C86" t="s">
        <v>751</v>
      </c>
      <c r="D86" t="s">
        <v>596</v>
      </c>
      <c r="E86" s="1">
        <v>44981</v>
      </c>
    </row>
    <row r="87" spans="1:5">
      <c r="A87" t="s">
        <v>107</v>
      </c>
      <c r="B87" t="s">
        <v>752</v>
      </c>
      <c r="C87" t="s">
        <v>753</v>
      </c>
      <c r="D87" t="s">
        <v>575</v>
      </c>
      <c r="E87" s="1">
        <v>45079</v>
      </c>
    </row>
    <row r="88" spans="1:5">
      <c r="A88" t="s">
        <v>185</v>
      </c>
      <c r="B88" t="s">
        <v>754</v>
      </c>
      <c r="C88" t="s">
        <v>755</v>
      </c>
      <c r="D88" t="s">
        <v>575</v>
      </c>
      <c r="E88" s="1">
        <v>45186</v>
      </c>
    </row>
    <row r="89" spans="1:5">
      <c r="A89" t="s">
        <v>182</v>
      </c>
      <c r="B89" t="s">
        <v>756</v>
      </c>
      <c r="C89" t="s">
        <v>757</v>
      </c>
      <c r="D89" t="s">
        <v>596</v>
      </c>
      <c r="E89" s="1">
        <v>45028</v>
      </c>
    </row>
    <row r="90" spans="1:5">
      <c r="A90" t="s">
        <v>85</v>
      </c>
      <c r="B90" t="s">
        <v>758</v>
      </c>
      <c r="C90" t="s">
        <v>759</v>
      </c>
      <c r="D90" t="s">
        <v>578</v>
      </c>
      <c r="E90" s="1">
        <v>45118</v>
      </c>
    </row>
    <row r="91" spans="1:5">
      <c r="A91" t="s">
        <v>451</v>
      </c>
      <c r="B91" t="s">
        <v>760</v>
      </c>
      <c r="C91" t="s">
        <v>761</v>
      </c>
      <c r="D91" t="s">
        <v>578</v>
      </c>
      <c r="E91" s="1">
        <v>45203</v>
      </c>
    </row>
    <row r="92" spans="1:5">
      <c r="A92" t="s">
        <v>13</v>
      </c>
      <c r="B92" t="s">
        <v>762</v>
      </c>
      <c r="C92" t="s">
        <v>763</v>
      </c>
      <c r="D92" t="s">
        <v>596</v>
      </c>
      <c r="E92" s="1">
        <v>44927</v>
      </c>
    </row>
    <row r="93" spans="1:5">
      <c r="A93" t="s">
        <v>91</v>
      </c>
      <c r="B93" t="s">
        <v>764</v>
      </c>
      <c r="C93" t="s">
        <v>765</v>
      </c>
      <c r="D93" t="s">
        <v>596</v>
      </c>
      <c r="E93" s="1">
        <v>45092</v>
      </c>
    </row>
    <row r="94" spans="1:5">
      <c r="A94" t="s">
        <v>315</v>
      </c>
      <c r="B94" t="s">
        <v>766</v>
      </c>
      <c r="C94" t="s">
        <v>767</v>
      </c>
      <c r="D94" t="s">
        <v>609</v>
      </c>
      <c r="E94" s="1">
        <v>44936</v>
      </c>
    </row>
    <row r="95" spans="1:5">
      <c r="A95" t="s">
        <v>188</v>
      </c>
      <c r="B95" t="s">
        <v>768</v>
      </c>
      <c r="C95" t="s">
        <v>769</v>
      </c>
      <c r="D95" t="s">
        <v>578</v>
      </c>
      <c r="E95" s="1">
        <v>45112</v>
      </c>
    </row>
    <row r="96" spans="1:5">
      <c r="A96" t="s">
        <v>396</v>
      </c>
      <c r="B96" t="s">
        <v>770</v>
      </c>
      <c r="C96" t="s">
        <v>771</v>
      </c>
      <c r="D96" t="s">
        <v>609</v>
      </c>
      <c r="E96" s="1">
        <v>45049</v>
      </c>
    </row>
    <row r="97" spans="1:5">
      <c r="A97" t="s">
        <v>120</v>
      </c>
      <c r="B97" t="s">
        <v>772</v>
      </c>
      <c r="C97" t="s">
        <v>773</v>
      </c>
      <c r="D97" t="s">
        <v>578</v>
      </c>
      <c r="E97" s="1">
        <v>45050</v>
      </c>
    </row>
    <row r="98" spans="1:5">
      <c r="A98" t="s">
        <v>16</v>
      </c>
      <c r="B98" t="s">
        <v>774</v>
      </c>
      <c r="C98" t="s">
        <v>775</v>
      </c>
      <c r="D98" t="s">
        <v>596</v>
      </c>
      <c r="E98" s="1">
        <v>44967</v>
      </c>
    </row>
    <row r="99" spans="1:5">
      <c r="A99" t="s">
        <v>80</v>
      </c>
      <c r="B99" t="s">
        <v>776</v>
      </c>
      <c r="C99" t="s">
        <v>777</v>
      </c>
      <c r="D99" t="s">
        <v>578</v>
      </c>
      <c r="E99" s="1">
        <v>45175</v>
      </c>
    </row>
    <row r="100" spans="1:5">
      <c r="A100" t="s">
        <v>95</v>
      </c>
      <c r="B100" t="s">
        <v>778</v>
      </c>
      <c r="C100" t="s">
        <v>779</v>
      </c>
      <c r="D100" t="s">
        <v>578</v>
      </c>
      <c r="E100" s="1">
        <v>45199</v>
      </c>
    </row>
    <row r="101" spans="1:5">
      <c r="A101" t="s">
        <v>105</v>
      </c>
      <c r="B101" t="s">
        <v>780</v>
      </c>
      <c r="C101" t="s">
        <v>781</v>
      </c>
      <c r="D101" t="s">
        <v>578</v>
      </c>
      <c r="E101" s="1">
        <v>44992</v>
      </c>
    </row>
    <row r="102" spans="1:5">
      <c r="A102" t="s">
        <v>141</v>
      </c>
      <c r="B102" t="s">
        <v>782</v>
      </c>
      <c r="C102" t="s">
        <v>783</v>
      </c>
      <c r="D102" t="s">
        <v>575</v>
      </c>
      <c r="E102" s="1">
        <v>45170</v>
      </c>
    </row>
    <row r="103" spans="1:5">
      <c r="A103" t="s">
        <v>62</v>
      </c>
      <c r="B103" t="s">
        <v>784</v>
      </c>
      <c r="C103" t="s">
        <v>785</v>
      </c>
      <c r="D103" t="s">
        <v>596</v>
      </c>
      <c r="E103" s="1">
        <v>45011</v>
      </c>
    </row>
    <row r="104" spans="1:5">
      <c r="A104" t="s">
        <v>302</v>
      </c>
      <c r="B104" t="s">
        <v>786</v>
      </c>
      <c r="C104" t="s">
        <v>787</v>
      </c>
      <c r="D104" t="s">
        <v>609</v>
      </c>
      <c r="E104" s="1">
        <v>45197</v>
      </c>
    </row>
    <row r="105" spans="1:5">
      <c r="A105" t="s">
        <v>67</v>
      </c>
      <c r="B105" t="s">
        <v>788</v>
      </c>
      <c r="C105" t="s">
        <v>789</v>
      </c>
      <c r="D105" t="s">
        <v>596</v>
      </c>
      <c r="E105" s="1">
        <v>45143</v>
      </c>
    </row>
    <row r="106" spans="1:5">
      <c r="A106" t="s">
        <v>238</v>
      </c>
      <c r="B106" t="s">
        <v>790</v>
      </c>
      <c r="C106" t="s">
        <v>791</v>
      </c>
      <c r="D106" t="s">
        <v>578</v>
      </c>
      <c r="E106" s="1">
        <v>45203</v>
      </c>
    </row>
    <row r="107" spans="1:5">
      <c r="A107" t="s">
        <v>222</v>
      </c>
      <c r="B107" t="s">
        <v>792</v>
      </c>
      <c r="C107" t="s">
        <v>793</v>
      </c>
      <c r="D107" t="s">
        <v>575</v>
      </c>
      <c r="E107" s="1">
        <v>45280</v>
      </c>
    </row>
    <row r="108" spans="1:5">
      <c r="A108" t="s">
        <v>180</v>
      </c>
      <c r="B108" t="s">
        <v>794</v>
      </c>
      <c r="C108" t="s">
        <v>795</v>
      </c>
      <c r="D108" t="s">
        <v>578</v>
      </c>
      <c r="E108" s="1">
        <v>45292</v>
      </c>
    </row>
    <row r="109" spans="1:5">
      <c r="A109" t="s">
        <v>436</v>
      </c>
      <c r="B109" t="s">
        <v>796</v>
      </c>
      <c r="C109" t="s">
        <v>797</v>
      </c>
      <c r="D109" t="s">
        <v>609</v>
      </c>
      <c r="E109" s="1">
        <v>45131</v>
      </c>
    </row>
    <row r="110" spans="1:5">
      <c r="A110" t="s">
        <v>388</v>
      </c>
      <c r="B110" t="s">
        <v>798</v>
      </c>
      <c r="C110" t="s">
        <v>799</v>
      </c>
      <c r="D110" t="s">
        <v>575</v>
      </c>
      <c r="E110" s="1">
        <v>45259</v>
      </c>
    </row>
    <row r="111" spans="1:5">
      <c r="A111" t="s">
        <v>37</v>
      </c>
      <c r="B111" t="s">
        <v>800</v>
      </c>
      <c r="C111" t="s">
        <v>801</v>
      </c>
      <c r="D111" t="s">
        <v>609</v>
      </c>
      <c r="E111" s="1">
        <v>45151</v>
      </c>
    </row>
    <row r="112" spans="1:5">
      <c r="A112" t="s">
        <v>172</v>
      </c>
      <c r="B112" t="s">
        <v>802</v>
      </c>
      <c r="C112" t="s">
        <v>803</v>
      </c>
      <c r="D112" t="s">
        <v>596</v>
      </c>
      <c r="E112" s="1">
        <v>45158</v>
      </c>
    </row>
    <row r="113" spans="1:5">
      <c r="A113" t="s">
        <v>297</v>
      </c>
      <c r="B113" t="s">
        <v>804</v>
      </c>
      <c r="C113" t="s">
        <v>805</v>
      </c>
      <c r="D113" t="s">
        <v>578</v>
      </c>
      <c r="E113" s="1">
        <v>45053</v>
      </c>
    </row>
    <row r="114" spans="1:5">
      <c r="A114" t="s">
        <v>167</v>
      </c>
      <c r="B114" t="s">
        <v>806</v>
      </c>
      <c r="C114" t="s">
        <v>807</v>
      </c>
      <c r="D114" t="s">
        <v>578</v>
      </c>
      <c r="E114" s="1">
        <v>44959</v>
      </c>
    </row>
    <row r="115" spans="1:5">
      <c r="A115" t="s">
        <v>247</v>
      </c>
      <c r="B115" t="s">
        <v>808</v>
      </c>
      <c r="C115" t="s">
        <v>809</v>
      </c>
      <c r="D115" t="s">
        <v>609</v>
      </c>
      <c r="E115" s="1">
        <v>44937</v>
      </c>
    </row>
    <row r="116" spans="1:5">
      <c r="A116" t="s">
        <v>7</v>
      </c>
      <c r="B116" t="s">
        <v>810</v>
      </c>
      <c r="C116" t="s">
        <v>811</v>
      </c>
      <c r="D116" t="s">
        <v>596</v>
      </c>
      <c r="E116" s="1">
        <v>45210</v>
      </c>
    </row>
    <row r="117" spans="1:5">
      <c r="A117" t="s">
        <v>116</v>
      </c>
      <c r="B117" t="s">
        <v>812</v>
      </c>
      <c r="C117" t="s">
        <v>813</v>
      </c>
      <c r="D117" t="s">
        <v>578</v>
      </c>
      <c r="E117" s="1">
        <v>45228</v>
      </c>
    </row>
    <row r="118" spans="1:5">
      <c r="A118" t="s">
        <v>391</v>
      </c>
      <c r="B118" t="s">
        <v>814</v>
      </c>
      <c r="C118" t="s">
        <v>815</v>
      </c>
      <c r="D118" t="s">
        <v>578</v>
      </c>
      <c r="E118" s="1">
        <v>44930</v>
      </c>
    </row>
    <row r="119" spans="1:5">
      <c r="A119" t="s">
        <v>318</v>
      </c>
      <c r="B119" t="s">
        <v>816</v>
      </c>
      <c r="C119" t="s">
        <v>817</v>
      </c>
      <c r="D119" t="s">
        <v>578</v>
      </c>
      <c r="E119" s="1">
        <v>45289</v>
      </c>
    </row>
    <row r="120" spans="1:5">
      <c r="A120" t="s">
        <v>233</v>
      </c>
      <c r="B120" t="s">
        <v>818</v>
      </c>
      <c r="C120" t="s">
        <v>819</v>
      </c>
      <c r="D120" t="s">
        <v>575</v>
      </c>
      <c r="E120" s="1">
        <v>44957</v>
      </c>
    </row>
    <row r="121" spans="1:5">
      <c r="A121" t="s">
        <v>299</v>
      </c>
      <c r="B121" t="s">
        <v>820</v>
      </c>
      <c r="C121" t="s">
        <v>821</v>
      </c>
      <c r="D121" t="s">
        <v>578</v>
      </c>
      <c r="E121" s="1">
        <v>44961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Pivotchart</vt:lpstr>
      <vt:lpstr>Dashboard</vt:lpstr>
      <vt:lpstr>Sales</vt:lpstr>
      <vt:lpstr>Products</vt:lpstr>
      <vt:lpstr>Customer_info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Solomon</dc:creator>
  <cp:lastModifiedBy>Dell</cp:lastModifiedBy>
  <dcterms:created xsi:type="dcterms:W3CDTF">2025-12-31T10:28:12Z</dcterms:created>
  <dcterms:modified xsi:type="dcterms:W3CDTF">2026-01-26T18:27:10Z</dcterms:modified>
</cp:coreProperties>
</file>